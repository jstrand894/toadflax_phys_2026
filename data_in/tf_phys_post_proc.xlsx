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384EE345-1EF5-8048-9C2A-C82ABA0B0108}" xr6:coauthVersionLast="47" xr6:coauthVersionMax="47" xr10:uidLastSave="{00000000-0000-0000-0000-000000000000}"/>
  <bookViews>
    <workbookView xWindow="23280" yWindow="1600" windowWidth="15120" windowHeight="18980" activeTab="6" xr2:uid="{576726BE-B199-8648-8F38-2B04CFC75E9F}"/>
  </bookViews>
  <sheets>
    <sheet name="Rep A" sheetId="1" r:id="rId1"/>
    <sheet name="Rep B" sheetId="2" r:id="rId2"/>
    <sheet name="Rep C" sheetId="4" r:id="rId3"/>
    <sheet name="Rep D" sheetId="5" r:id="rId4"/>
    <sheet name="dryweights" sheetId="3" r:id="rId5"/>
    <sheet name="Rep E" sheetId="6" r:id="rId6"/>
    <sheet name="RepEgall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D13" i="6"/>
  <c r="C12" i="6"/>
  <c r="D12" i="6"/>
  <c r="C11" i="6"/>
  <c r="C10" i="6"/>
  <c r="C49" i="3"/>
  <c r="D49" i="3" s="1"/>
  <c r="E49" i="3"/>
  <c r="E8" i="7"/>
  <c r="E7" i="7"/>
  <c r="O1" i="6"/>
  <c r="Q1" i="6" s="1"/>
  <c r="S1" i="6" s="1"/>
  <c r="U1" i="6" s="1"/>
  <c r="W1" i="6" s="1"/>
  <c r="Y1" i="6" s="1"/>
  <c r="AA1" i="6" s="1"/>
  <c r="AC1" i="6" s="1"/>
  <c r="AE1" i="6" s="1"/>
  <c r="N1" i="6"/>
  <c r="P1" i="6" s="1"/>
  <c r="R1" i="6" s="1"/>
  <c r="T1" i="6" s="1"/>
  <c r="V1" i="6" s="1"/>
  <c r="X1" i="6" s="1"/>
  <c r="Z1" i="6" s="1"/>
  <c r="AB1" i="6" s="1"/>
  <c r="AD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16" i="3"/>
  <c r="D17" i="3"/>
  <c r="D18" i="3"/>
  <c r="D19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224110F2-35CD-9B48-9CBB-9415C5338116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sharedStrings.xml><?xml version="1.0" encoding="utf-8"?>
<sst xmlns="http://schemas.openxmlformats.org/spreadsheetml/2006/main" count="435" uniqueCount="117">
  <si>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</si>
  <si>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</si>
  <si>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</si>
  <si>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</si>
  <si>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</si>
  <si>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</si>
  <si>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</si>
  <si>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</si>
  <si>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</si>
  <si>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</si>
  <si>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</si>
  <si>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</si>
  <si>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</si>
  <si>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</si>
  <si>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</si>
  <si>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</si>
  <si>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</si>
  <si>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</si>
  <si>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</si>
  <si>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</si>
  <si>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</si>
  <si>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</si>
  <si>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</si>
  <si>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</si>
  <si>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</si>
  <si>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</si>
  <si>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</si>
  <si>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</si>
  <si>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</si>
  <si>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</si>
  <si>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</si>
  <si>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</si>
  <si>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</si>
  <si>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</si>
  <si>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</si>
  <si>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</si>
  <si>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</si>
  <si>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</si>
  <si>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</si>
  <si>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</si>
  <si>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</si>
  <si>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</si>
  <si>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</si>
  <si>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</si>
  <si>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</si>
  <si>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</si>
  <si>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</si>
  <si>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</si>
  <si>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</si>
  <si>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</si>
  <si>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</si>
  <si>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</si>
  <si>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</si>
  <si>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</si>
  <si>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</si>
  <si>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</si>
  <si>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</si>
  <si>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</si>
  <si>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</si>
  <si>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</si>
  <si>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</si>
  <si>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</si>
  <si>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</si>
  <si>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</si>
  <si>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</si>
  <si>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</si>
  <si>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</si>
  <si>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</si>
  <si>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</si>
  <si>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</si>
  <si>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</si>
  <si>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</si>
  <si>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</si>
  <si>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</si>
  <si>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</si>
  <si>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</si>
  <si>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</si>
  <si>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</si>
  <si>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</si>
  <si>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</si>
  <si>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</si>
  <si>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</si>
  <si>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</si>
  <si>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</si>
  <si>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</si>
  <si>
    <t>E</t>
  </si>
  <si>
    <t>C2</t>
  </si>
  <si>
    <t>marker_2</t>
  </si>
  <si>
    <t>M1</t>
  </si>
  <si>
    <t>gc_main</t>
  </si>
  <si>
    <t>gc_side</t>
  </si>
  <si>
    <t>mc</t>
  </si>
  <si>
    <t>M2</t>
  </si>
  <si>
    <t>Sample</t>
  </si>
  <si>
    <t>Event</t>
  </si>
  <si>
    <t>G1H</t>
  </si>
  <si>
    <t>G1D</t>
  </si>
  <si>
    <t>Insects</t>
  </si>
  <si>
    <t>Rep</t>
  </si>
  <si>
    <t>Dead_egg</t>
  </si>
  <si>
    <t>Dead_neo</t>
  </si>
  <si>
    <t>cat</t>
  </si>
  <si>
    <t>M3</t>
  </si>
  <si>
    <t>m</t>
  </si>
  <si>
    <t>height</t>
  </si>
  <si>
    <t>m_s</t>
  </si>
  <si>
    <t>J1</t>
  </si>
  <si>
    <t>C3</t>
  </si>
  <si>
    <t>C1</t>
  </si>
  <si>
    <t>J3</t>
  </si>
  <si>
    <t>R1</t>
  </si>
  <si>
    <t>R2</t>
  </si>
  <si>
    <t>several small ones on side stems, above second marker</t>
  </si>
  <si>
    <t>J2</t>
  </si>
  <si>
    <t>R3</t>
  </si>
  <si>
    <t>m_s1</t>
  </si>
  <si>
    <t>m_s2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</si>
</sst>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Fill="1" applyBorder="1"/>
    <xf numFmtId="0" fontId="0" fillId="0" borderId="2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H49"/>
  <sheetViews>
    <sheetView zoomScale="140" zoomScaleNormal="140" workbookViewId="0">
      <pane ySplit="1" topLeftCell="A29" activePane="bottomLeft" state="frozen"/>
      <selection pane="bottomLeft" activeCell="C51" sqref="C51"/>
    </sheetView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s="14" t="s">
        <v>37</v>
      </c>
      <c r="C37" s="14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s="14" t="s">
        <v>77</v>
      </c>
      <c r="C38" s="14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s="14" t="s">
        <v>84</v>
      </c>
      <c r="C39" s="14" t="str">
        <f t="shared" ref="C39:C49" si="5">A39&amp;B39</f>
        <v>DY1C</v>
      </c>
      <c r="D39" s="1" t="str">
        <f t="shared" ref="D39:D49" si="6">RIGHT(C39,1)</f>
        <v>C</v>
      </c>
      <c r="E39" s="1" t="str">
        <f t="shared" ref="E39:E49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s="14" t="s">
        <v>80</v>
      </c>
      <c r="C40" s="14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s="14" t="s">
        <v>79</v>
      </c>
      <c r="C41" s="14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s="14" t="s">
        <v>55</v>
      </c>
      <c r="C42" s="14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s="14" t="s">
        <v>83</v>
      </c>
      <c r="C43" s="14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s="14" t="s">
        <v>56</v>
      </c>
      <c r="C44" s="1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s="14" t="s">
        <v>36</v>
      </c>
      <c r="C45" s="14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s="14" t="s">
        <v>43</v>
      </c>
      <c r="C46" s="14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s="14" t="s">
        <v>71</v>
      </c>
      <c r="C47" s="14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5" t="s">
        <v>82</v>
      </c>
      <c r="C48" s="15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  <row r="49" spans="1:8" x14ac:dyDescent="0.2">
      <c r="A49" s="14" t="s">
        <v>66</v>
      </c>
      <c r="B49" s="14" t="s">
        <v>106</v>
      </c>
      <c r="C49" s="14" t="str">
        <f t="shared" si="5"/>
        <v>DJ1</v>
      </c>
      <c r="D49" s="1" t="str">
        <f t="shared" si="6"/>
        <v>1</v>
      </c>
      <c r="E49" s="1" t="str">
        <f t="shared" si="7"/>
        <v>J</v>
      </c>
      <c r="H49" s="1">
        <v>0</v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L13"/>
  <sheetViews>
    <sheetView zoomScale="160" zoomScaleNormal="160" workbookViewId="0">
      <pane ySplit="1" topLeftCell="A2" activePane="bottomLeft" state="frozen"/>
      <selection pane="bottomLeft" activeCell="M4" sqref="M4"/>
    </sheetView>
  </sheetViews>
  <sheetFormatPr baseColWidth="10" defaultRowHeight="16" x14ac:dyDescent="0.2"/>
  <cols>
    <col min="1" max="1" width="3.83203125" style="1" bestFit="1" customWidth="1"/>
    <col min="2" max="2" width="7.66406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9" style="1" bestFit="1" customWidth="1"/>
    <col min="9" max="9" width="8.1640625" style="1" bestFit="1" customWidth="1"/>
    <col min="10" max="10" width="7.5" style="1" bestFit="1" customWidth="1"/>
    <col min="11" max="11" width="3.83203125" style="1" bestFit="1" customWidth="1"/>
    <col min="12" max="12" width="4" style="13" bestFit="1" customWidth="1"/>
    <col min="13" max="13" width="5.1640625" style="1" bestFit="1" customWidth="1"/>
    <col min="14" max="14" width="4" style="1" bestFit="1" customWidth="1"/>
    <col min="15" max="15" width="5.1640625" style="1" bestFit="1" customWidth="1"/>
    <col min="16" max="16" width="4" style="1" bestFit="1" customWidth="1"/>
    <col min="17" max="17" width="5.1640625" style="1" bestFit="1" customWidth="1"/>
    <col min="18" max="18" width="4" style="1" bestFit="1" customWidth="1"/>
    <col min="19" max="19" width="5.1640625" style="1" bestFit="1" customWidth="1"/>
    <col min="20" max="20" width="4" style="1" bestFit="1" customWidth="1"/>
    <col min="21" max="21" width="5.1640625" style="1" bestFit="1" customWidth="1"/>
    <col min="22" max="22" width="4" style="1" bestFit="1" customWidth="1"/>
    <col min="23" max="23" width="5.1640625" style="1" bestFit="1" customWidth="1"/>
    <col min="24" max="24" width="4" style="1" bestFit="1" customWidth="1"/>
    <col min="25" max="25" width="5.1640625" style="1" bestFit="1" customWidth="1"/>
    <col min="26" max="26" width="4" style="1" bestFit="1" customWidth="1"/>
    <col min="27" max="27" width="5.1640625" style="1" bestFit="1" customWidth="1"/>
    <col min="28" max="28" width="4" style="1" bestFit="1" customWidth="1"/>
    <col min="29" max="29" width="5.1640625" style="1" bestFit="1" customWidth="1"/>
    <col min="30" max="30" width="5" style="1" bestFit="1" customWidth="1"/>
    <col min="31" max="31" width="6.1640625" style="1" bestFit="1" customWidth="1"/>
    <col min="32" max="32" width="5" style="1" bestFit="1" customWidth="1"/>
    <col min="33" max="33" width="6.1640625" style="1" bestFit="1" customWidth="1"/>
    <col min="34" max="34" width="5" style="1" bestFit="1" customWidth="1"/>
    <col min="35" max="35" width="6.1640625" style="1" bestFit="1" customWidth="1"/>
    <col min="36" max="36" width="5" style="1" bestFit="1" customWidth="1"/>
    <col min="37" max="37" width="6.1640625" style="1" bestFit="1" customWidth="1"/>
    <col min="38" max="38" width="5.83203125" style="1" bestFit="1" customWidth="1"/>
    <col min="39" max="16384" width="10.83203125" style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s="1" t="s">
        <v>85</v>
      </c>
      <c r="B2" s="1" t="s">
        <v>86</v>
      </c>
      <c r="C2" s="1">
        <v>1.1979999999999999E-2</v>
      </c>
      <c r="D2" s="1">
        <v>1.0880000000000001E-2</v>
      </c>
      <c r="E2" s="1">
        <v>60.1</v>
      </c>
      <c r="F2" s="1">
        <v>3.903</v>
      </c>
      <c r="G2" s="1">
        <v>7.1</v>
      </c>
      <c r="H2" s="1">
        <v>29.3</v>
      </c>
      <c r="K2" s="1">
        <v>0</v>
      </c>
      <c r="L2" s="13">
        <v>40.1</v>
      </c>
      <c r="N2" s="1">
        <v>33.1</v>
      </c>
      <c r="P2" s="1">
        <v>14.4</v>
      </c>
      <c r="R2" s="1">
        <v>37.1</v>
      </c>
    </row>
    <row r="3" spans="1:38" x14ac:dyDescent="0.2">
      <c r="A3" s="1" t="s">
        <v>85</v>
      </c>
      <c r="B3" s="1" t="s">
        <v>88</v>
      </c>
      <c r="C3" s="1">
        <v>7.5100000000000002E-3</v>
      </c>
      <c r="D3" s="1">
        <v>1.2919999999999999E-2</v>
      </c>
      <c r="E3" s="1">
        <v>48.2</v>
      </c>
      <c r="F3" s="1">
        <v>3.61</v>
      </c>
      <c r="G3" s="1">
        <v>5.8</v>
      </c>
      <c r="H3" s="1">
        <v>26.1</v>
      </c>
      <c r="I3" s="1">
        <v>0</v>
      </c>
      <c r="J3" s="1">
        <v>0</v>
      </c>
      <c r="K3" s="1">
        <v>12</v>
      </c>
      <c r="L3" s="13">
        <v>48.2</v>
      </c>
      <c r="M3" s="1">
        <v>10</v>
      </c>
      <c r="N3" s="1">
        <v>46.3</v>
      </c>
      <c r="O3" s="1">
        <v>21</v>
      </c>
    </row>
    <row r="4" spans="1:38" x14ac:dyDescent="0.2">
      <c r="A4" s="1" t="s">
        <v>85</v>
      </c>
      <c r="B4" s="1" t="s">
        <v>92</v>
      </c>
      <c r="C4" s="1">
        <v>7.6600000000000001E-3</v>
      </c>
      <c r="D4" s="1">
        <v>8.4700000000000001E-3</v>
      </c>
      <c r="E4" s="1">
        <v>41.9</v>
      </c>
      <c r="F4" s="1">
        <v>3.3250000000000002</v>
      </c>
      <c r="G4" s="1">
        <v>5.0999999999999996</v>
      </c>
      <c r="H4" s="1">
        <v>22</v>
      </c>
      <c r="L4" s="13">
        <v>47.9</v>
      </c>
      <c r="N4" s="1">
        <v>20.2</v>
      </c>
    </row>
    <row r="5" spans="1:38" x14ac:dyDescent="0.2">
      <c r="A5" s="1" t="s">
        <v>85</v>
      </c>
      <c r="B5" s="1" t="s">
        <v>106</v>
      </c>
      <c r="C5" s="1">
        <v>1.306E-2</v>
      </c>
      <c r="E5" s="1">
        <v>34.1</v>
      </c>
      <c r="F5" s="1">
        <v>3.835</v>
      </c>
      <c r="G5" s="1">
        <v>4.4000000000000004</v>
      </c>
      <c r="H5" s="1">
        <v>11.3</v>
      </c>
      <c r="K5" s="1">
        <v>23</v>
      </c>
    </row>
    <row r="6" spans="1:38" x14ac:dyDescent="0.2">
      <c r="A6" s="1" t="s">
        <v>85</v>
      </c>
      <c r="B6" s="1" t="s">
        <v>102</v>
      </c>
      <c r="C6" s="1">
        <v>1.193E-2</v>
      </c>
      <c r="E6" s="1">
        <v>53.1</v>
      </c>
      <c r="F6" s="1">
        <v>4.0110000000000001</v>
      </c>
      <c r="G6" s="1">
        <v>5.5</v>
      </c>
      <c r="H6" s="1">
        <v>29.2</v>
      </c>
      <c r="K6" s="1">
        <v>21</v>
      </c>
    </row>
    <row r="7" spans="1:38" x14ac:dyDescent="0.2">
      <c r="A7" s="1" t="s">
        <v>85</v>
      </c>
      <c r="B7" s="1" t="s">
        <v>107</v>
      </c>
      <c r="C7" s="1">
        <v>1.498E-2</v>
      </c>
      <c r="E7" s="1">
        <v>60.1</v>
      </c>
      <c r="F7" s="1">
        <v>4.3120000000000003</v>
      </c>
      <c r="G7" s="1">
        <v>7.6</v>
      </c>
      <c r="H7" s="1">
        <v>31.3</v>
      </c>
      <c r="K7" s="1">
        <v>0</v>
      </c>
    </row>
    <row r="8" spans="1:38" x14ac:dyDescent="0.2">
      <c r="A8" s="1" t="s">
        <v>85</v>
      </c>
      <c r="B8" s="1" t="s">
        <v>108</v>
      </c>
      <c r="C8" s="1">
        <v>1.9720000000000001E-2</v>
      </c>
      <c r="D8" s="1">
        <v>1.3600000000000001E-3</v>
      </c>
      <c r="E8" s="1">
        <v>59.9</v>
      </c>
      <c r="F8" s="1">
        <v>4.5430000000000001</v>
      </c>
      <c r="G8" s="1">
        <v>5.5</v>
      </c>
      <c r="H8" s="1">
        <v>32</v>
      </c>
      <c r="L8" s="13">
        <v>20.399999999999999</v>
      </c>
      <c r="N8" s="1">
        <v>11.4</v>
      </c>
    </row>
    <row r="9" spans="1:38" x14ac:dyDescent="0.2">
      <c r="A9" s="1" t="s">
        <v>85</v>
      </c>
      <c r="B9" s="1" t="s">
        <v>109</v>
      </c>
      <c r="C9" s="1">
        <v>1.538E-2</v>
      </c>
      <c r="D9" s="1">
        <v>8.0999999999999996E-3</v>
      </c>
      <c r="E9" s="1">
        <v>46</v>
      </c>
      <c r="F9" s="1">
        <v>3.45</v>
      </c>
      <c r="G9" s="1">
        <v>6.6</v>
      </c>
      <c r="H9" s="1">
        <v>20.9</v>
      </c>
      <c r="K9" s="1">
        <v>23</v>
      </c>
      <c r="L9" s="13">
        <v>11.1</v>
      </c>
      <c r="M9" s="1">
        <v>4</v>
      </c>
      <c r="N9" s="1">
        <v>39.6</v>
      </c>
      <c r="O9" s="1">
        <v>26</v>
      </c>
    </row>
    <row r="10" spans="1:38" x14ac:dyDescent="0.2">
      <c r="A10" s="1" t="s">
        <v>85</v>
      </c>
      <c r="B10" s="1" t="s">
        <v>110</v>
      </c>
      <c r="C10" s="1">
        <f>0.02147-0.007</f>
        <v>1.447E-2</v>
      </c>
      <c r="E10" s="1">
        <v>47</v>
      </c>
      <c r="F10" s="1">
        <v>4.3209999999999997</v>
      </c>
      <c r="G10" s="1">
        <v>7.6</v>
      </c>
      <c r="H10" s="1">
        <v>26</v>
      </c>
    </row>
    <row r="11" spans="1:38" x14ac:dyDescent="0.2">
      <c r="A11" s="1" t="s">
        <v>85</v>
      </c>
      <c r="B11" s="1" t="s">
        <v>111</v>
      </c>
      <c r="C11" s="1">
        <f>0.03236-0.007</f>
        <v>2.5360000000000001E-2</v>
      </c>
      <c r="E11" s="1">
        <v>43.2</v>
      </c>
      <c r="F11" s="1">
        <v>4.359</v>
      </c>
      <c r="G11" s="1">
        <v>7.9</v>
      </c>
      <c r="H11" s="1">
        <v>19.7</v>
      </c>
      <c r="L11" s="13">
        <v>39.700000000000003</v>
      </c>
      <c r="N11" s="1">
        <v>31.4</v>
      </c>
      <c r="P11" s="1">
        <v>26.5</v>
      </c>
    </row>
    <row r="12" spans="1:38" x14ac:dyDescent="0.2">
      <c r="A12" s="1" t="s">
        <v>85</v>
      </c>
      <c r="B12" s="1" t="s">
        <v>113</v>
      </c>
      <c r="C12" s="1">
        <f>0.01374-0.007</f>
        <v>6.7400000000000003E-3</v>
      </c>
      <c r="D12" s="1">
        <f>0.01415-0.007</f>
        <v>7.1499999999999992E-3</v>
      </c>
      <c r="E12" s="1">
        <v>37.1</v>
      </c>
      <c r="F12" s="1">
        <v>3.3769999999999998</v>
      </c>
      <c r="G12" s="1">
        <v>6.5</v>
      </c>
      <c r="H12" s="1">
        <v>19</v>
      </c>
      <c r="K12" s="1">
        <v>10</v>
      </c>
      <c r="L12" s="13">
        <v>26.5</v>
      </c>
      <c r="M12" s="1">
        <v>15</v>
      </c>
    </row>
    <row r="13" spans="1:38" x14ac:dyDescent="0.2">
      <c r="A13" s="1" t="s">
        <v>85</v>
      </c>
      <c r="B13" s="1" t="s">
        <v>114</v>
      </c>
      <c r="C13" s="1">
        <f>0.02417-0.007</f>
        <v>1.7170000000000001E-2</v>
      </c>
      <c r="D13" s="1">
        <f>0.01492-0.007</f>
        <v>7.92E-3</v>
      </c>
      <c r="E13" s="1">
        <v>11.5</v>
      </c>
      <c r="F13" s="1">
        <v>3.34</v>
      </c>
      <c r="G13" s="1">
        <v>4.8</v>
      </c>
      <c r="H13" s="1">
        <v>10.5</v>
      </c>
      <c r="L13" s="13">
        <v>10.3</v>
      </c>
      <c r="N13" s="1">
        <v>3.7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1810-EDBB-BA4A-8D25-5923165EB8A3}">
  <dimension ref="A1:J45"/>
  <sheetViews>
    <sheetView tabSelected="1" topLeftCell="B1" zoomScale="171" workbookViewId="0">
      <selection activeCell="F5" sqref="F5"/>
    </sheetView>
  </sheetViews>
  <sheetFormatPr baseColWidth="10" defaultRowHeight="16" x14ac:dyDescent="0.2"/>
  <cols>
    <col min="1" max="1" width="4.33203125" style="1" bestFit="1" customWidth="1"/>
    <col min="2" max="2" width="7.1640625" style="1" bestFit="1" customWidth="1"/>
    <col min="3" max="3" width="4.33203125" style="1" bestFit="1" customWidth="1"/>
    <col min="4" max="4" width="5.6640625" style="1" bestFit="1" customWidth="1"/>
    <col min="5" max="5" width="6.1640625" style="1" bestFit="1" customWidth="1"/>
    <col min="6" max="16384" width="10.83203125" style="1"/>
  </cols>
  <sheetData>
    <row r="1" spans="1:10" x14ac:dyDescent="0.2">
      <c r="A1" s="1" t="s">
        <v>98</v>
      </c>
      <c r="B1" s="1" t="s">
        <v>93</v>
      </c>
      <c r="C1" s="1" t="s">
        <v>101</v>
      </c>
      <c r="D1" s="1" t="s">
        <v>94</v>
      </c>
      <c r="E1" s="1" t="s">
        <v>104</v>
      </c>
      <c r="F1" s="1" t="s">
        <v>95</v>
      </c>
      <c r="G1" s="1" t="s">
        <v>96</v>
      </c>
      <c r="H1" s="1" t="s">
        <v>97</v>
      </c>
      <c r="I1" s="1" t="s">
        <v>99</v>
      </c>
      <c r="J1" s="1" t="s">
        <v>100</v>
      </c>
    </row>
    <row r="2" spans="1:10" x14ac:dyDescent="0.2">
      <c r="A2" s="1" t="s">
        <v>85</v>
      </c>
      <c r="B2" s="1" t="s">
        <v>92</v>
      </c>
      <c r="C2" s="1" t="s">
        <v>9</v>
      </c>
      <c r="D2" s="1">
        <v>1</v>
      </c>
      <c r="F2" s="1">
        <v>0.5</v>
      </c>
      <c r="G2" s="1">
        <v>3.032</v>
      </c>
      <c r="H2" s="1">
        <v>0</v>
      </c>
      <c r="I2" s="1">
        <v>0</v>
      </c>
      <c r="J2" s="1">
        <v>1</v>
      </c>
    </row>
    <row r="3" spans="1:10" x14ac:dyDescent="0.2">
      <c r="A3" s="1" t="s">
        <v>85</v>
      </c>
      <c r="B3" s="1" t="s">
        <v>92</v>
      </c>
      <c r="C3" s="1" t="s">
        <v>9</v>
      </c>
      <c r="D3" s="1">
        <v>2</v>
      </c>
      <c r="F3" s="1">
        <v>1.5</v>
      </c>
      <c r="G3" s="1">
        <v>5.0789999999999997</v>
      </c>
      <c r="H3" s="1">
        <v>0</v>
      </c>
      <c r="I3" s="1">
        <v>0</v>
      </c>
      <c r="J3" s="1">
        <v>0</v>
      </c>
    </row>
    <row r="4" spans="1:10" x14ac:dyDescent="0.2">
      <c r="A4" s="1" t="s">
        <v>85</v>
      </c>
      <c r="B4" s="1" t="s">
        <v>92</v>
      </c>
      <c r="C4" s="1" t="s">
        <v>9</v>
      </c>
      <c r="D4" s="1">
        <v>3</v>
      </c>
      <c r="F4" s="1">
        <v>0.3</v>
      </c>
      <c r="G4" s="1">
        <v>2.3149999999999999</v>
      </c>
      <c r="H4" s="1">
        <v>0</v>
      </c>
      <c r="I4" s="1">
        <v>0</v>
      </c>
      <c r="J4" s="1">
        <v>0</v>
      </c>
    </row>
    <row r="5" spans="1:10" x14ac:dyDescent="0.2">
      <c r="A5" s="1" t="s">
        <v>85</v>
      </c>
      <c r="B5" s="1" t="s">
        <v>92</v>
      </c>
      <c r="C5" s="1" t="s">
        <v>9</v>
      </c>
      <c r="D5" s="1">
        <v>4</v>
      </c>
      <c r="F5" s="1">
        <v>0.5</v>
      </c>
      <c r="G5" s="1">
        <v>4.8689999999999998</v>
      </c>
      <c r="H5" s="1">
        <v>0</v>
      </c>
    </row>
    <row r="6" spans="1:10" x14ac:dyDescent="0.2">
      <c r="A6" s="1" t="s">
        <v>85</v>
      </c>
      <c r="B6" s="1" t="s">
        <v>92</v>
      </c>
      <c r="C6" s="1" t="s">
        <v>9</v>
      </c>
      <c r="D6" s="1">
        <v>4</v>
      </c>
      <c r="F6" s="1">
        <v>0.5</v>
      </c>
      <c r="G6" s="1">
        <v>5.2409999999999997</v>
      </c>
      <c r="H6" s="1">
        <v>0</v>
      </c>
    </row>
    <row r="7" spans="1:10" x14ac:dyDescent="0.2">
      <c r="A7" s="1" t="s">
        <v>85</v>
      </c>
      <c r="B7" s="1" t="s">
        <v>92</v>
      </c>
      <c r="C7" s="1" t="s">
        <v>103</v>
      </c>
      <c r="D7" s="1">
        <v>1</v>
      </c>
      <c r="E7" s="1">
        <f>22-4.6</f>
        <v>17.399999999999999</v>
      </c>
      <c r="F7" s="1">
        <v>0.5</v>
      </c>
      <c r="G7" s="1">
        <v>7.1609999999999996</v>
      </c>
      <c r="H7" s="1">
        <v>0</v>
      </c>
    </row>
    <row r="8" spans="1:10" x14ac:dyDescent="0.2">
      <c r="A8" s="1" t="s">
        <v>85</v>
      </c>
      <c r="B8" s="1" t="s">
        <v>92</v>
      </c>
      <c r="C8" s="1" t="s">
        <v>103</v>
      </c>
      <c r="D8" s="1">
        <v>2</v>
      </c>
      <c r="E8" s="1">
        <f>22-3.1</f>
        <v>18.899999999999999</v>
      </c>
      <c r="F8" s="1">
        <v>1.2</v>
      </c>
      <c r="G8" s="1">
        <v>8.7430000000000003</v>
      </c>
      <c r="H8" s="1">
        <v>1</v>
      </c>
    </row>
    <row r="9" spans="1:10" x14ac:dyDescent="0.2">
      <c r="A9" s="1" t="s">
        <v>85</v>
      </c>
      <c r="B9" s="1" t="s">
        <v>92</v>
      </c>
      <c r="C9" s="1" t="s">
        <v>105</v>
      </c>
      <c r="D9" s="1">
        <v>3</v>
      </c>
      <c r="E9" s="1">
        <v>18.899999999999999</v>
      </c>
      <c r="F9" s="1">
        <v>0.7</v>
      </c>
      <c r="G9" s="1">
        <v>6.1429999999999998</v>
      </c>
      <c r="H9" s="1">
        <v>1</v>
      </c>
    </row>
    <row r="10" spans="1:10" x14ac:dyDescent="0.2">
      <c r="A10" s="1" t="s">
        <v>85</v>
      </c>
      <c r="B10" s="1" t="s">
        <v>111</v>
      </c>
      <c r="C10" s="1" t="s">
        <v>105</v>
      </c>
      <c r="D10" s="1">
        <v>1</v>
      </c>
      <c r="E10" s="1">
        <v>9.3000000000000007</v>
      </c>
      <c r="F10" s="1">
        <v>0.6</v>
      </c>
      <c r="G10" s="1">
        <v>3.0019999999999998</v>
      </c>
    </row>
    <row r="11" spans="1:10" x14ac:dyDescent="0.2">
      <c r="A11" s="1" t="s">
        <v>85</v>
      </c>
      <c r="B11" s="1" t="s">
        <v>111</v>
      </c>
      <c r="C11" s="1" t="s">
        <v>105</v>
      </c>
      <c r="D11" s="1">
        <v>1</v>
      </c>
      <c r="F11" s="1">
        <v>0.3</v>
      </c>
      <c r="G11" s="1">
        <v>2.6619999999999999</v>
      </c>
    </row>
    <row r="12" spans="1:10" x14ac:dyDescent="0.2">
      <c r="A12" s="1" t="s">
        <v>85</v>
      </c>
      <c r="B12" s="1" t="s">
        <v>111</v>
      </c>
      <c r="C12" s="1" t="s">
        <v>105</v>
      </c>
      <c r="D12" s="1">
        <v>1</v>
      </c>
      <c r="F12" s="1">
        <v>0.4</v>
      </c>
      <c r="G12" s="1">
        <v>2.8130000000000002</v>
      </c>
      <c r="J12" s="1">
        <v>1</v>
      </c>
    </row>
    <row r="13" spans="1:10" x14ac:dyDescent="0.2">
      <c r="A13" s="1" t="s">
        <v>85</v>
      </c>
      <c r="B13" s="1" t="s">
        <v>111</v>
      </c>
      <c r="C13" s="1" t="s">
        <v>105</v>
      </c>
      <c r="D13" s="1">
        <v>2</v>
      </c>
      <c r="E13" s="1">
        <v>19.7</v>
      </c>
      <c r="F13" s="1">
        <v>0.2</v>
      </c>
      <c r="G13" s="1">
        <v>2.7229999999999999</v>
      </c>
      <c r="J13" s="1">
        <v>1</v>
      </c>
    </row>
    <row r="14" spans="1:10" s="12" customFormat="1" x14ac:dyDescent="0.2">
      <c r="A14" s="12" t="s">
        <v>85</v>
      </c>
      <c r="B14" s="12" t="s">
        <v>111</v>
      </c>
      <c r="C14" s="12" t="s">
        <v>105</v>
      </c>
      <c r="D14" s="12">
        <v>3</v>
      </c>
      <c r="E14" s="12" t="s">
        <v>112</v>
      </c>
    </row>
    <row r="15" spans="1:10" x14ac:dyDescent="0.2">
      <c r="A15" s="1" t="s">
        <v>85</v>
      </c>
      <c r="B15" s="1" t="s">
        <v>114</v>
      </c>
      <c r="C15" s="1" t="s">
        <v>9</v>
      </c>
      <c r="D15" s="1">
        <v>1</v>
      </c>
      <c r="E15" s="1">
        <v>5.3</v>
      </c>
      <c r="F15" s="1">
        <v>4</v>
      </c>
      <c r="G15" s="1">
        <v>12.824999999999999</v>
      </c>
      <c r="H15" s="1">
        <v>10</v>
      </c>
    </row>
    <row r="16" spans="1:10" x14ac:dyDescent="0.2">
      <c r="B16" s="1" t="s">
        <v>114</v>
      </c>
      <c r="C16" s="1" t="s">
        <v>9</v>
      </c>
      <c r="D16" s="1">
        <v>2</v>
      </c>
      <c r="E16" s="1">
        <v>1.3</v>
      </c>
      <c r="F16" s="1">
        <v>3</v>
      </c>
      <c r="G16" s="1">
        <v>10.391</v>
      </c>
      <c r="H16" s="1">
        <v>7</v>
      </c>
    </row>
    <row r="17" spans="2:8" x14ac:dyDescent="0.2">
      <c r="B17" s="1" t="s">
        <v>114</v>
      </c>
      <c r="C17" s="1" t="s">
        <v>9</v>
      </c>
      <c r="D17" s="1">
        <v>3</v>
      </c>
      <c r="E17" s="1">
        <v>1.4</v>
      </c>
      <c r="F17" s="1">
        <v>2.9</v>
      </c>
      <c r="G17" s="1">
        <v>11.32</v>
      </c>
      <c r="H17" s="1">
        <v>6</v>
      </c>
    </row>
    <row r="18" spans="2:8" x14ac:dyDescent="0.2">
      <c r="B18" s="1" t="s">
        <v>114</v>
      </c>
      <c r="C18" s="1" t="s">
        <v>9</v>
      </c>
      <c r="D18" s="1">
        <v>4</v>
      </c>
      <c r="E18" s="1">
        <v>1.1000000000000001</v>
      </c>
      <c r="F18" s="1">
        <v>1.3</v>
      </c>
      <c r="G18" s="1">
        <v>8.6639999999999997</v>
      </c>
      <c r="H18" s="1">
        <v>4</v>
      </c>
    </row>
    <row r="19" spans="2:8" x14ac:dyDescent="0.2">
      <c r="B19" s="1" t="s">
        <v>114</v>
      </c>
      <c r="C19" s="1" t="s">
        <v>9</v>
      </c>
      <c r="D19" s="1">
        <v>5</v>
      </c>
      <c r="E19" s="1">
        <v>1.3</v>
      </c>
      <c r="F19" s="1">
        <v>2</v>
      </c>
      <c r="G19" s="1">
        <v>10.891999999999999</v>
      </c>
      <c r="H19" s="1">
        <v>5</v>
      </c>
    </row>
    <row r="20" spans="2:8" x14ac:dyDescent="0.2">
      <c r="B20" s="1" t="s">
        <v>114</v>
      </c>
      <c r="C20" s="1" t="s">
        <v>10</v>
      </c>
      <c r="D20" s="1">
        <v>1</v>
      </c>
      <c r="E20" s="1">
        <v>3.7</v>
      </c>
      <c r="F20" s="1">
        <v>2.2999999999999998</v>
      </c>
      <c r="G20" s="1">
        <v>8.1129999999999995</v>
      </c>
      <c r="H20" s="1">
        <v>3</v>
      </c>
    </row>
    <row r="21" spans="2:8" x14ac:dyDescent="0.2">
      <c r="B21" s="1" t="s">
        <v>114</v>
      </c>
      <c r="C21" s="1" t="s">
        <v>115</v>
      </c>
      <c r="D21" s="1">
        <v>1</v>
      </c>
      <c r="E21" s="1">
        <v>1.4</v>
      </c>
      <c r="F21" s="1">
        <v>2.1</v>
      </c>
      <c r="G21" s="1">
        <v>9.23</v>
      </c>
      <c r="H21" s="1">
        <v>4</v>
      </c>
    </row>
    <row r="22" spans="2:8" x14ac:dyDescent="0.2">
      <c r="C22" s="1" t="s">
        <v>116</v>
      </c>
      <c r="D22" s="1">
        <v>1</v>
      </c>
      <c r="F22" s="1">
        <v>5.2</v>
      </c>
      <c r="G22" s="1">
        <v>5.2080000000000002</v>
      </c>
      <c r="H22" s="1">
        <v>0</v>
      </c>
    </row>
    <row r="23" spans="2:8" x14ac:dyDescent="0.2">
      <c r="C23" s="1" t="s">
        <v>116</v>
      </c>
      <c r="D23" s="1">
        <v>1</v>
      </c>
      <c r="F23" s="1">
        <v>1.1000000000000001</v>
      </c>
      <c r="G23" s="1">
        <v>4.2789999999999999</v>
      </c>
      <c r="H23" s="1">
        <v>1</v>
      </c>
    </row>
    <row r="24" spans="2:8" x14ac:dyDescent="0.2">
      <c r="F24" s="1">
        <v>1.5</v>
      </c>
      <c r="G24" s="1">
        <v>9.6859999999999999</v>
      </c>
      <c r="H24" s="1">
        <v>5</v>
      </c>
    </row>
    <row r="25" spans="2:8" x14ac:dyDescent="0.2">
      <c r="F25" s="1">
        <v>2.4</v>
      </c>
      <c r="G25" s="1">
        <v>9.3059999999999992</v>
      </c>
      <c r="H25" s="1">
        <v>3</v>
      </c>
    </row>
    <row r="26" spans="2:8" x14ac:dyDescent="0.2">
      <c r="F26" s="1">
        <v>1.9</v>
      </c>
      <c r="G26" s="1">
        <v>9.8239999999999998</v>
      </c>
      <c r="H26" s="1">
        <v>6</v>
      </c>
    </row>
    <row r="27" spans="2:8" x14ac:dyDescent="0.2">
      <c r="F27" s="1">
        <v>2.2000000000000002</v>
      </c>
      <c r="G27" s="1">
        <v>9.7530000000000001</v>
      </c>
      <c r="H27" s="1">
        <v>5</v>
      </c>
    </row>
    <row r="28" spans="2:8" x14ac:dyDescent="0.2">
      <c r="F28" s="1">
        <v>2.6</v>
      </c>
      <c r="G28" s="1">
        <v>10.625999999999999</v>
      </c>
      <c r="H28" s="1">
        <v>9</v>
      </c>
    </row>
    <row r="29" spans="2:8" x14ac:dyDescent="0.2">
      <c r="F29" s="1">
        <v>2.2999999999999998</v>
      </c>
      <c r="G29" s="1">
        <v>10.797000000000001</v>
      </c>
      <c r="H29" s="1">
        <v>8</v>
      </c>
    </row>
    <row r="30" spans="2:8" x14ac:dyDescent="0.2">
      <c r="F30" s="1">
        <v>0.9</v>
      </c>
      <c r="G30" s="1">
        <v>6.048</v>
      </c>
      <c r="H30" s="1">
        <v>5</v>
      </c>
    </row>
    <row r="31" spans="2:8" x14ac:dyDescent="0.2">
      <c r="F31" s="1">
        <v>1.5</v>
      </c>
      <c r="G31" s="1">
        <v>8.3369999999999997</v>
      </c>
      <c r="H31" s="1">
        <v>2</v>
      </c>
    </row>
    <row r="32" spans="2:8" x14ac:dyDescent="0.2">
      <c r="F32" s="1">
        <v>1.1000000000000001</v>
      </c>
      <c r="G32" s="1">
        <v>5.2279999999999998</v>
      </c>
      <c r="H32" s="1">
        <v>1</v>
      </c>
    </row>
    <row r="33" spans="6:8" x14ac:dyDescent="0.2">
      <c r="F33" s="1">
        <v>1.9</v>
      </c>
      <c r="G33" s="1">
        <v>8.3870000000000005</v>
      </c>
      <c r="H33" s="1">
        <v>4</v>
      </c>
    </row>
    <row r="34" spans="6:8" x14ac:dyDescent="0.2">
      <c r="F34" s="1">
        <v>2.5</v>
      </c>
      <c r="G34" s="1">
        <v>11.244999999999999</v>
      </c>
      <c r="H34" s="1">
        <v>6</v>
      </c>
    </row>
    <row r="35" spans="6:8" x14ac:dyDescent="0.2">
      <c r="F35" s="1">
        <v>1.3</v>
      </c>
      <c r="G35" s="1">
        <v>7.2060000000000004</v>
      </c>
      <c r="H35" s="1">
        <v>0</v>
      </c>
    </row>
    <row r="36" spans="6:8" x14ac:dyDescent="0.2">
      <c r="F36" s="1">
        <v>2.1</v>
      </c>
      <c r="G36" s="1">
        <v>7.508</v>
      </c>
      <c r="H36" s="1">
        <v>5</v>
      </c>
    </row>
    <row r="37" spans="6:8" x14ac:dyDescent="0.2">
      <c r="F37" s="1">
        <v>1.6</v>
      </c>
      <c r="G37" s="1">
        <v>10.734999999999999</v>
      </c>
      <c r="H37" s="1">
        <v>8</v>
      </c>
    </row>
    <row r="38" spans="6:8" x14ac:dyDescent="0.2">
      <c r="F38" s="1">
        <v>1.6</v>
      </c>
      <c r="G38" s="1">
        <v>7.4630000000000001</v>
      </c>
      <c r="H38" s="1">
        <v>2</v>
      </c>
    </row>
    <row r="39" spans="6:8" x14ac:dyDescent="0.2">
      <c r="F39" s="1">
        <v>2.1</v>
      </c>
      <c r="G39" s="1">
        <v>12.272</v>
      </c>
      <c r="H39" s="1">
        <v>6</v>
      </c>
    </row>
    <row r="40" spans="6:8" x14ac:dyDescent="0.2">
      <c r="F40" s="1">
        <v>2.5</v>
      </c>
      <c r="G40" s="1">
        <v>7.8579999999999997</v>
      </c>
      <c r="H40" s="1">
        <v>0</v>
      </c>
    </row>
    <row r="41" spans="6:8" x14ac:dyDescent="0.2">
      <c r="F41" s="1">
        <v>1.1000000000000001</v>
      </c>
      <c r="G41" s="1">
        <v>11.242000000000001</v>
      </c>
      <c r="H41" s="1">
        <v>5</v>
      </c>
    </row>
    <row r="42" spans="6:8" x14ac:dyDescent="0.2">
      <c r="F42" s="1">
        <v>0.8</v>
      </c>
      <c r="G42" s="1">
        <v>10.765000000000001</v>
      </c>
      <c r="H42" s="1">
        <v>2</v>
      </c>
    </row>
    <row r="43" spans="6:8" x14ac:dyDescent="0.2">
      <c r="F43" s="1">
        <v>1.6</v>
      </c>
      <c r="G43" s="1">
        <v>12.746</v>
      </c>
      <c r="H43" s="1">
        <v>2</v>
      </c>
    </row>
    <row r="44" spans="6:8" x14ac:dyDescent="0.2">
      <c r="F44" s="1">
        <v>1.2</v>
      </c>
      <c r="G44" s="1">
        <v>7.2030000000000003</v>
      </c>
      <c r="H44" s="1">
        <v>2</v>
      </c>
    </row>
    <row r="45" spans="6:8" x14ac:dyDescent="0.2">
      <c r="F45" s="1">
        <v>0.8</v>
      </c>
      <c r="G45" s="1">
        <v>6.6230000000000002</v>
      </c>
      <c r="H45" s="1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Rep A</vt:lpstr>
      <vt:lpstr>Rep B</vt:lpstr>
      <vt:lpstr>Rep C</vt:lpstr>
      <vt:lpstr>Rep D</vt:lpstr>
      <vt:lpstr>dryweights</vt:lpstr>
      <vt:lpstr>Rep E</vt:lpstr>
      <vt:lpstr>RepEgalls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2026-04-28T14:45:18Z</dcterms:modified>
</cp:coreProperties>
</file>