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CBE1746B-0D21-9143-921B-E2F69E30DCAB}" xr6:coauthVersionLast="47" xr6:coauthVersionMax="47" xr10:uidLastSave="{00000000-0000-0000-0000-000000000000}"/>
  <bookViews>
    <workbookView xWindow="0" yWindow="660" windowWidth="30240" windowHeight="18980" activeTab="5" xr2:uid="{576726BE-B199-8648-8F38-2B04CFC75E9F}"/>
  </bookViews>
  <sheets>
    <sheet name="Rep A" sheetId="1" r:id="rId1"/>
    <sheet name="Rep B" sheetId="2" r:id="rId2"/>
    <sheet name="Rep C" sheetId="4" r:id="rId3"/>
    <sheet name="Rep D" sheetId="5" r:id="rId4"/>
    <sheet name="dryweights" sheetId="3" r:id="rId5"/>
    <sheet name="Rep 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6" l="1"/>
  <c r="N1" i="6" s="1"/>
  <c r="P1" i="6" s="1"/>
  <c r="R1" i="6" s="1"/>
  <c r="T1" i="6" s="1"/>
  <c r="V1" i="6" s="1"/>
  <c r="X1" i="6" s="1"/>
  <c r="Z1" i="6" s="1"/>
  <c r="AB1" i="6" s="1"/>
  <c r="K1" i="6"/>
  <c r="M1" i="6" s="1"/>
  <c r="O1" i="6" s="1"/>
  <c r="Q1" i="6" s="1"/>
  <c r="S1" i="6" s="1"/>
  <c r="U1" i="6" s="1"/>
  <c r="W1" i="6" s="1"/>
  <c r="Y1" i="6" s="1"/>
  <c r="AA1" i="6" s="1"/>
  <c r="C48" i="3"/>
  <c r="D48" i="3"/>
  <c r="E48" i="3"/>
  <c r="C47" i="3"/>
  <c r="D47" i="3" s="1"/>
  <c r="E47" i="3"/>
  <c r="C46" i="3"/>
  <c r="D46" i="3" s="1"/>
  <c r="E46" i="3"/>
  <c r="C39" i="3"/>
  <c r="D39" i="3" s="1"/>
  <c r="E39" i="3"/>
  <c r="C40" i="3"/>
  <c r="D40" i="3" s="1"/>
  <c r="E40" i="3"/>
  <c r="C41" i="3"/>
  <c r="D41" i="3" s="1"/>
  <c r="E41" i="3"/>
  <c r="C42" i="3"/>
  <c r="D42" i="3" s="1"/>
  <c r="E42" i="3"/>
  <c r="C43" i="3"/>
  <c r="D43" i="3" s="1"/>
  <c r="E43" i="3"/>
  <c r="C44" i="3"/>
  <c r="D44" i="3" s="1"/>
  <c r="E44" i="3"/>
  <c r="C45" i="3"/>
  <c r="D45" i="3" s="1"/>
  <c r="E45" i="3"/>
  <c r="C38" i="3"/>
  <c r="D38" i="3" s="1"/>
  <c r="E38" i="3"/>
  <c r="C37" i="3"/>
  <c r="D37" i="3" s="1"/>
  <c r="E37" i="3"/>
  <c r="L1" i="5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16" i="3"/>
  <c r="D17" i="3"/>
  <c r="D18" i="3"/>
  <c r="D19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sharedStrings.xml><?xml version="1.0" encoding="utf-8"?>
<sst xmlns="http://schemas.openxmlformats.org/spreadsheetml/2006/main" count="339" uniqueCount="85">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</sst>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zoomScale="160" zoomScaleNormal="160" workbookViewId="0">
      <pane ySplit="1" topLeftCell="A2" activePane="bottomLeft" state="frozen"/>
      <selection pane="bottomLeft" sqref="A1:XFD1"/>
    </sheetView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">
        <v>0</v>
      </c>
      <c r="O6" s="1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H48"/>
  <sheetViews>
    <sheetView zoomScale="140" zoomScaleNormal="140" workbookViewId="0">
      <pane ySplit="1" topLeftCell="A29" activePane="bottomLeft" state="frozen"/>
      <selection pane="bottomLeft" activeCell="C51" sqref="C51"/>
    </sheetView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7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7" si="1">RIGHT(C14,1)</f>
        <v>I</v>
      </c>
      <c r="E14" s="1" t="str">
        <f t="shared" ref="E14:E38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s="11" customFormat="1" x14ac:dyDescent="0.2">
      <c r="A36" s="11" t="s">
        <v>63</v>
      </c>
      <c r="B36" s="11" t="s">
        <v>83</v>
      </c>
      <c r="C36" s="11" t="str">
        <f t="shared" si="0"/>
        <v>CY2C</v>
      </c>
      <c r="D36" s="12" t="str">
        <f t="shared" si="1"/>
        <v>C</v>
      </c>
      <c r="E36" s="12" t="str">
        <f t="shared" si="2"/>
        <v>Y</v>
      </c>
      <c r="F36" s="12">
        <v>7.2199999999999999E-3</v>
      </c>
      <c r="G36" s="12">
        <v>1.8849999999999999E-2</v>
      </c>
      <c r="H36" s="12">
        <v>2.334E-2</v>
      </c>
    </row>
    <row r="37" spans="1:8" x14ac:dyDescent="0.2">
      <c r="A37" t="s">
        <v>66</v>
      </c>
      <c r="B37" s="14" t="s">
        <v>37</v>
      </c>
      <c r="C37" s="14" t="str">
        <f t="shared" si="0"/>
        <v>DY6I</v>
      </c>
      <c r="D37" s="1" t="str">
        <f t="shared" si="1"/>
        <v>I</v>
      </c>
      <c r="E37" s="1" t="str">
        <f t="shared" si="2"/>
        <v>Y</v>
      </c>
      <c r="F37" s="1">
        <v>1.372E-2</v>
      </c>
      <c r="G37" s="1">
        <v>1.231E-2</v>
      </c>
      <c r="H37" s="1">
        <v>3.083E-2</v>
      </c>
    </row>
    <row r="38" spans="1:8" x14ac:dyDescent="0.2">
      <c r="A38" t="s">
        <v>66</v>
      </c>
      <c r="B38" s="14" t="s">
        <v>77</v>
      </c>
      <c r="C38" s="14" t="str">
        <f t="shared" ref="C38" si="3">A38&amp;B38</f>
        <v>DD3I</v>
      </c>
      <c r="D38" s="1" t="str">
        <f t="shared" ref="D38" si="4">RIGHT(C38,1)</f>
        <v>I</v>
      </c>
      <c r="E38" s="1" t="str">
        <f t="shared" si="2"/>
        <v>D</v>
      </c>
      <c r="F38" s="1">
        <v>3.4199999999999999E-3</v>
      </c>
      <c r="G38" s="1">
        <v>1.8339999999999999E-2</v>
      </c>
      <c r="H38" s="1">
        <v>1.1100000000000001E-3</v>
      </c>
    </row>
    <row r="39" spans="1:8" x14ac:dyDescent="0.2">
      <c r="A39" t="s">
        <v>66</v>
      </c>
      <c r="B39" s="14" t="s">
        <v>84</v>
      </c>
      <c r="C39" s="14" t="str">
        <f t="shared" ref="C39:C48" si="5">A39&amp;B39</f>
        <v>DY1C</v>
      </c>
      <c r="D39" s="1" t="str">
        <f t="shared" ref="D39:D48" si="6">RIGHT(C39,1)</f>
        <v>C</v>
      </c>
      <c r="E39" s="1" t="str">
        <f t="shared" ref="E39:E48" si="7">LEFT(B39,1)</f>
        <v>Y</v>
      </c>
      <c r="F39" s="1">
        <v>7.9600000000000001E-3</v>
      </c>
      <c r="G39" s="1">
        <v>1.226E-2</v>
      </c>
      <c r="H39" s="1">
        <v>3.1230000000000001E-2</v>
      </c>
    </row>
    <row r="40" spans="1:8" x14ac:dyDescent="0.2">
      <c r="A40" t="s">
        <v>66</v>
      </c>
      <c r="B40" s="14" t="s">
        <v>80</v>
      </c>
      <c r="C40" s="14" t="str">
        <f t="shared" si="5"/>
        <v>DY3I</v>
      </c>
      <c r="D40" s="1" t="str">
        <f t="shared" si="6"/>
        <v>I</v>
      </c>
      <c r="E40" s="1" t="str">
        <f t="shared" si="7"/>
        <v>Y</v>
      </c>
      <c r="F40" s="1">
        <v>7.3200000000000001E-3</v>
      </c>
      <c r="G40" s="1">
        <v>1.379E-2</v>
      </c>
      <c r="H40" s="1">
        <v>3.431E-2</v>
      </c>
    </row>
    <row r="41" spans="1:8" x14ac:dyDescent="0.2">
      <c r="A41" t="s">
        <v>66</v>
      </c>
      <c r="B41" s="14" t="s">
        <v>79</v>
      </c>
      <c r="C41" s="14" t="str">
        <f t="shared" si="5"/>
        <v>DD2C</v>
      </c>
      <c r="D41" s="1" t="str">
        <f t="shared" si="6"/>
        <v>C</v>
      </c>
      <c r="E41" s="1" t="str">
        <f t="shared" si="7"/>
        <v>D</v>
      </c>
      <c r="F41" s="1">
        <v>6.2100000000000002E-3</v>
      </c>
      <c r="G41" s="1">
        <v>1.9019999999999999E-2</v>
      </c>
      <c r="H41" s="1">
        <v>2.8639999999999999E-2</v>
      </c>
    </row>
    <row r="42" spans="1:8" x14ac:dyDescent="0.2">
      <c r="A42" t="s">
        <v>66</v>
      </c>
      <c r="B42" s="14" t="s">
        <v>55</v>
      </c>
      <c r="C42" s="14" t="str">
        <f t="shared" si="5"/>
        <v>DD4I</v>
      </c>
      <c r="D42" s="1" t="str">
        <f t="shared" si="6"/>
        <v>I</v>
      </c>
      <c r="E42" s="1" t="str">
        <f t="shared" si="7"/>
        <v>D</v>
      </c>
      <c r="F42" s="1">
        <v>3.1099999999999999E-3</v>
      </c>
      <c r="G42" s="1">
        <v>1.4630000000000001E-2</v>
      </c>
      <c r="H42" s="1">
        <v>8.6300000000000005E-3</v>
      </c>
    </row>
    <row r="43" spans="1:8" x14ac:dyDescent="0.2">
      <c r="A43" t="s">
        <v>66</v>
      </c>
      <c r="B43" s="14" t="s">
        <v>83</v>
      </c>
      <c r="C43" s="14" t="str">
        <f t="shared" si="5"/>
        <v>DY2C</v>
      </c>
      <c r="D43" s="1" t="str">
        <f t="shared" si="6"/>
        <v>C</v>
      </c>
      <c r="E43" s="1" t="str">
        <f t="shared" si="7"/>
        <v>Y</v>
      </c>
      <c r="F43" s="1">
        <v>7.8700000000000003E-3</v>
      </c>
      <c r="G43" s="1">
        <v>1.6830000000000001E-2</v>
      </c>
      <c r="H43" s="1">
        <v>2.5780000000000001E-2</v>
      </c>
    </row>
    <row r="44" spans="1:8" x14ac:dyDescent="0.2">
      <c r="A44" t="s">
        <v>66</v>
      </c>
      <c r="B44" s="14" t="s">
        <v>56</v>
      </c>
      <c r="C44" s="14" t="str">
        <f t="shared" si="5"/>
        <v>DY5I</v>
      </c>
      <c r="D44" s="1" t="str">
        <f t="shared" si="6"/>
        <v>I</v>
      </c>
      <c r="E44" s="1" t="str">
        <f t="shared" si="7"/>
        <v>Y</v>
      </c>
      <c r="F44" s="1">
        <v>4.6499999999999996E-3</v>
      </c>
      <c r="G44" s="1">
        <v>1.336E-2</v>
      </c>
      <c r="H44" s="1">
        <v>2.145E-2</v>
      </c>
    </row>
    <row r="45" spans="1:8" x14ac:dyDescent="0.2">
      <c r="A45" t="s">
        <v>66</v>
      </c>
      <c r="B45" s="14" t="s">
        <v>36</v>
      </c>
      <c r="C45" s="14" t="str">
        <f t="shared" si="5"/>
        <v>DD5I</v>
      </c>
      <c r="D45" s="1" t="str">
        <f t="shared" si="6"/>
        <v>I</v>
      </c>
      <c r="E45" s="1" t="str">
        <f t="shared" si="7"/>
        <v>D</v>
      </c>
      <c r="F45" s="1">
        <v>4.6699999999999997E-3</v>
      </c>
      <c r="G45" s="1">
        <v>7.6600000000000001E-3</v>
      </c>
      <c r="H45" s="1">
        <v>1.6080000000000001E-2</v>
      </c>
    </row>
    <row r="46" spans="1:8" x14ac:dyDescent="0.2">
      <c r="A46" t="s">
        <v>66</v>
      </c>
      <c r="B46" s="14" t="s">
        <v>43</v>
      </c>
      <c r="C46" s="14" t="str">
        <f t="shared" si="5"/>
        <v>DD6I</v>
      </c>
      <c r="D46" s="1" t="str">
        <f t="shared" si="6"/>
        <v>I</v>
      </c>
      <c r="E46" s="1" t="str">
        <f t="shared" si="7"/>
        <v>D</v>
      </c>
      <c r="F46" s="1">
        <v>4.8399999999999997E-3</v>
      </c>
      <c r="G46" s="1">
        <v>2.3019999999999999E-2</v>
      </c>
      <c r="H46" s="1">
        <v>1.384E-2</v>
      </c>
    </row>
    <row r="47" spans="1:8" x14ac:dyDescent="0.2">
      <c r="A47" t="s">
        <v>66</v>
      </c>
      <c r="B47" s="14" t="s">
        <v>71</v>
      </c>
      <c r="C47" s="14" t="str">
        <f t="shared" si="5"/>
        <v>DY4I</v>
      </c>
      <c r="D47" s="1" t="str">
        <f t="shared" si="6"/>
        <v>I</v>
      </c>
      <c r="E47" s="1" t="str">
        <f t="shared" si="7"/>
        <v>Y</v>
      </c>
      <c r="F47" s="1">
        <v>6.6400000000000001E-3</v>
      </c>
      <c r="G47" s="1">
        <v>1.2239999999999999E-2</v>
      </c>
      <c r="H47" s="1">
        <v>3.1449999999999999E-2</v>
      </c>
    </row>
    <row r="48" spans="1:8" s="11" customFormat="1" x14ac:dyDescent="0.2">
      <c r="A48" s="11" t="s">
        <v>66</v>
      </c>
      <c r="B48" s="15" t="s">
        <v>82</v>
      </c>
      <c r="C48" s="15" t="str">
        <f t="shared" si="5"/>
        <v>DD1C</v>
      </c>
      <c r="D48" s="12" t="str">
        <f t="shared" si="6"/>
        <v>C</v>
      </c>
      <c r="E48" s="12" t="str">
        <f t="shared" si="7"/>
        <v>D</v>
      </c>
      <c r="F48" s="12">
        <v>4.15E-3</v>
      </c>
      <c r="G48" s="12">
        <v>1.268E-2</v>
      </c>
      <c r="H48" s="12">
        <v>2.3529999999999999E-2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3FEC-E731-1941-B8CC-124FA42DCA1F}">
  <dimension ref="A1:AI1"/>
  <sheetViews>
    <sheetView tabSelected="1" zoomScale="160" zoomScaleNormal="160" workbookViewId="0">
      <pane ySplit="1" topLeftCell="A2" activePane="bottomLeft" state="frozen"/>
      <selection pane="bottomLeft" activeCell="A2" sqref="A2"/>
    </sheetView>
  </sheetViews>
  <sheetFormatPr baseColWidth="10" defaultRowHeight="16" x14ac:dyDescent="0.2"/>
  <cols>
    <col min="1" max="1" width="3.83203125" bestFit="1" customWidth="1"/>
    <col min="2" max="2" width="7.6640625" bestFit="1" customWidth="1"/>
    <col min="3" max="3" width="12.5" bestFit="1" customWidth="1"/>
    <col min="4" max="4" width="11.83203125" bestFit="1" customWidth="1"/>
    <col min="5" max="5" width="11.33203125" bestFit="1" customWidth="1"/>
    <col min="6" max="6" width="13.6640625" bestFit="1" customWidth="1"/>
    <col min="7" max="7" width="13.1640625" bestFit="1" customWidth="1"/>
    <col min="8" max="8" width="11.6640625" bestFit="1" customWidth="1"/>
    <col min="9" max="9" width="4" bestFit="1" customWidth="1"/>
    <col min="10" max="10" width="5.1640625" bestFit="1" customWidth="1"/>
    <col min="11" max="11" width="4" bestFit="1" customWidth="1"/>
    <col min="12" max="12" width="5.1640625" bestFit="1" customWidth="1"/>
    <col min="13" max="13" width="4" bestFit="1" customWidth="1"/>
    <col min="14" max="14" width="5.1640625" bestFit="1" customWidth="1"/>
    <col min="15" max="15" width="4" bestFit="1" customWidth="1"/>
    <col min="16" max="16" width="5.1640625" bestFit="1" customWidth="1"/>
    <col min="17" max="17" width="4" bestFit="1" customWidth="1"/>
    <col min="18" max="18" width="5.1640625" bestFit="1" customWidth="1"/>
    <col min="19" max="19" width="4" bestFit="1" customWidth="1"/>
    <col min="20" max="20" width="5.1640625" bestFit="1" customWidth="1"/>
    <col min="21" max="21" width="4" bestFit="1" customWidth="1"/>
    <col min="22" max="22" width="5.1640625" bestFit="1" customWidth="1"/>
    <col min="23" max="23" width="4" bestFit="1" customWidth="1"/>
    <col min="24" max="24" width="5.1640625" bestFit="1" customWidth="1"/>
    <col min="25" max="25" width="4" bestFit="1" customWidth="1"/>
    <col min="26" max="26" width="5.1640625" bestFit="1" customWidth="1"/>
    <col min="27" max="27" width="5" bestFit="1" customWidth="1"/>
    <col min="28" max="28" width="6.1640625" bestFit="1" customWidth="1"/>
    <col min="29" max="29" width="5" bestFit="1" customWidth="1"/>
    <col min="30" max="30" width="6.1640625" bestFit="1" customWidth="1"/>
    <col min="31" max="31" width="5" bestFit="1" customWidth="1"/>
    <col min="32" max="32" width="6.1640625" bestFit="1" customWidth="1"/>
    <col min="33" max="33" width="5" bestFit="1" customWidth="1"/>
    <col min="34" max="34" width="6.1640625" bestFit="1" customWidth="1"/>
    <col min="35" max="35" width="5.83203125" bestFit="1" customWidth="1"/>
  </cols>
  <sheetData>
    <row r="1" spans="1:35" s="6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22</v>
      </c>
      <c r="I1" s="9" t="s">
        <v>9</v>
      </c>
      <c r="J1" s="7" t="s">
        <v>23</v>
      </c>
      <c r="K1" s="7" t="str">
        <f>"s_"&amp;RIGHT(I1,1)+1</f>
        <v>s_2</v>
      </c>
      <c r="L1" s="7" t="str">
        <f>"inf_"&amp;RIGHT(J1,1)+1</f>
        <v>inf_2</v>
      </c>
      <c r="M1" s="7" t="str">
        <f t="shared" ref="M1" si="0">"s_"&amp;RIGHT(K1,1)+1</f>
        <v>s_3</v>
      </c>
      <c r="N1" s="7" t="str">
        <f t="shared" ref="N1" si="1">"inf_"&amp;RIGHT(L1,1)+1</f>
        <v>inf_3</v>
      </c>
      <c r="O1" s="7" t="str">
        <f t="shared" ref="O1" si="2">"s_"&amp;RIGHT(M1,1)+1</f>
        <v>s_4</v>
      </c>
      <c r="P1" s="7" t="str">
        <f t="shared" ref="P1" si="3">"inf_"&amp;RIGHT(N1,1)+1</f>
        <v>inf_4</v>
      </c>
      <c r="Q1" s="7" t="str">
        <f t="shared" ref="Q1" si="4">"s_"&amp;RIGHT(O1,1)+1</f>
        <v>s_5</v>
      </c>
      <c r="R1" s="7" t="str">
        <f t="shared" ref="R1" si="5">"inf_"&amp;RIGHT(P1,1)+1</f>
        <v>inf_5</v>
      </c>
      <c r="S1" s="7" t="str">
        <f t="shared" ref="S1" si="6">"s_"&amp;RIGHT(Q1,1)+1</f>
        <v>s_6</v>
      </c>
      <c r="T1" s="7" t="str">
        <f t="shared" ref="T1" si="7">"inf_"&amp;RIGHT(R1,1)+1</f>
        <v>inf_6</v>
      </c>
      <c r="U1" s="7" t="str">
        <f t="shared" ref="U1" si="8">"s_"&amp;RIGHT(S1,1)+1</f>
        <v>s_7</v>
      </c>
      <c r="V1" s="7" t="str">
        <f t="shared" ref="V1" si="9">"inf_"&amp;RIGHT(T1,1)+1</f>
        <v>inf_7</v>
      </c>
      <c r="W1" s="7" t="str">
        <f t="shared" ref="W1" si="10">"s_"&amp;RIGHT(U1,1)+1</f>
        <v>s_8</v>
      </c>
      <c r="X1" s="7" t="str">
        <f t="shared" ref="X1" si="11">"inf_"&amp;RIGHT(V1,1)+1</f>
        <v>inf_8</v>
      </c>
      <c r="Y1" s="7" t="str">
        <f t="shared" ref="Y1" si="12">"s_"&amp;RIGHT(W1,1)+1</f>
        <v>s_9</v>
      </c>
      <c r="Z1" s="7" t="str">
        <f t="shared" ref="Z1" si="13">"inf_"&amp;RIGHT(X1,1)+1</f>
        <v>inf_9</v>
      </c>
      <c r="AA1" s="7" t="str">
        <f t="shared" ref="AA1" si="14">"s_"&amp;RIGHT(Y1,1)+1</f>
        <v>s_10</v>
      </c>
      <c r="AB1" s="7" t="str">
        <f t="shared" ref="AB1" si="15">"inf_"&amp;RIGHT(Z1,1)+1</f>
        <v>inf_10</v>
      </c>
      <c r="AC1" s="7" t="s">
        <v>41</v>
      </c>
      <c r="AD1" s="7" t="s">
        <v>42</v>
      </c>
      <c r="AE1" s="6" t="s">
        <v>45</v>
      </c>
      <c r="AF1" s="6" t="s">
        <v>47</v>
      </c>
      <c r="AG1" s="6" t="s">
        <v>46</v>
      </c>
      <c r="AH1" s="6" t="s">
        <v>48</v>
      </c>
      <c r="AI1" s="6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Rep A</vt:lpstr>
      <vt:lpstr>Rep B</vt:lpstr>
      <vt:lpstr>Rep C</vt:lpstr>
      <vt:lpstr>Rep D</vt:lpstr>
      <vt:lpstr>dryweights</vt:lpstr>
      <vt:lpstr>Rep 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2026-04-24T18:07:58Z</dcterms:modified>
</cp:coreProperties>
</file>