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384EE345-1EF5-8048-9C2A-C82ABA0B0108}" xr6:coauthVersionLast="47" xr6:coauthVersionMax="47" xr10:uidLastSave="{00000000-0000-0000-0000-000000000000}"/>
  <bookViews>
    <workbookView xWindow="15120" yWindow="660" windowWidth="15120" windowHeight="18980" activeTab="6" xr2:uid="{576726BE-B199-8648-8F38-2B04CFC75E9F}"/>
    <workbookView xWindow="0" yWindow="660" windowWidth="15120" windowHeight="18980" activeTab="5" xr2:uid="{425FCF97-E445-624D-A120-38CCB2294FA9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  <sheet name="RepEgall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D13" i="6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<sst xmlns="http://schemas.openxmlformats.org/spreadsheetml/2006/main" count="435" uniqueCount="117">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</sst>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  <sheetView workbookViewId="1"/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  <sheetView workbookViewId="1"/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  <sheetView workbookViewId="1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  <sheetView workbookViewId="1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49"/>
  <sheetViews>
    <sheetView zoomScale="140" zoomScaleNormal="140" workbookViewId="0">
      <pane ySplit="1" topLeftCell="A29" activePane="bottomLeft" state="frozen"/>
      <selection pane="bottomLeft" activeCell="C51" sqref="C51"/>
    </sheetView>
    <sheetView topLeftCell="A23" workbookViewId="1">
      <selection activeCell="H50" sqref="H50"/>
    </sheetView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s="14" t="s">
        <v>37</v>
      </c>
      <c r="C37" s="14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s="14" t="s">
        <v>77</v>
      </c>
      <c r="C38" s="14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s="14" t="s">
        <v>84</v>
      </c>
      <c r="C39" s="14" t="str">
        <f t="shared" ref="C39:C49" si="5">A39&amp;B39</f>
        <v>DY1C</v>
      </c>
      <c r="D39" s="1" t="str">
        <f t="shared" ref="D39:D49" si="6">RIGHT(C39,1)</f>
        <v>C</v>
      </c>
      <c r="E39" s="1" t="str">
        <f t="shared" ref="E39:E49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s="14" t="s">
        <v>80</v>
      </c>
      <c r="C40" s="14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s="14" t="s">
        <v>79</v>
      </c>
      <c r="C41" s="14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s="14" t="s">
        <v>55</v>
      </c>
      <c r="C42" s="14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s="14" t="s">
        <v>83</v>
      </c>
      <c r="C43" s="14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s="14" t="s">
        <v>56</v>
      </c>
      <c r="C44" s="1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s="14" t="s">
        <v>36</v>
      </c>
      <c r="C45" s="14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s="14" t="s">
        <v>43</v>
      </c>
      <c r="C46" s="14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s="14" t="s">
        <v>71</v>
      </c>
      <c r="C47" s="14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5" t="s">
        <v>82</v>
      </c>
      <c r="C48" s="15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8" x14ac:dyDescent="0.2">
      <c r="A49" s="14" t="s">
        <v>66</v>
      </c>
      <c r="B49" s="14" t="s">
        <v>106</v>
      </c>
      <c r="C49" s="14" t="str">
        <f t="shared" si="5"/>
        <v>DJ1</v>
      </c>
      <c r="D49" s="1" t="str">
        <f t="shared" si="6"/>
        <v>1</v>
      </c>
      <c r="E49" s="1" t="str">
        <f t="shared" si="7"/>
        <v>J</v>
      </c>
      <c r="H49" s="1">
        <v>0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activeCell="M4" sqref="M4"/>
    </sheetView>
    <sheetView tabSelected="1" zoomScale="200" workbookViewId="1">
      <pane xSplit="2" ySplit="1" topLeftCell="C2" activePane="bottomRight" state="frozen"/>
      <selection pane="topRight" activeCell="C1" sqref="C1"/>
      <selection pane="bottomLeft" activeCell="A2" sqref="A2"/>
      <selection pane="bottomRight" activeCell="C14" sqref="C14"/>
    </sheetView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C13" s="1">
        <f>0.02417-0.007</f>
        <v>1.7170000000000001E-2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J45"/>
  <sheetViews>
    <sheetView tabSelected="1" topLeftCell="B24" zoomScale="171" workbookViewId="0">
      <selection activeCell="G46" sqref="G46"/>
    </sheetView>
    <sheetView workbookViewId="1"/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4.3320312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0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</row>
    <row r="2" spans="1:10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0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0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0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0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0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0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0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0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0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0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0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0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0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0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6:8" x14ac:dyDescent="0.2">
      <c r="F33" s="1">
        <v>1.9</v>
      </c>
      <c r="G33" s="1">
        <v>8.3870000000000005</v>
      </c>
      <c r="H33" s="1">
        <v>4</v>
      </c>
    </row>
    <row r="34" spans="6:8" x14ac:dyDescent="0.2">
      <c r="F34" s="1">
        <v>2.5</v>
      </c>
      <c r="G34" s="1">
        <v>11.244999999999999</v>
      </c>
      <c r="H34" s="1">
        <v>6</v>
      </c>
    </row>
    <row r="35" spans="6:8" x14ac:dyDescent="0.2">
      <c r="F35" s="1">
        <v>1.3</v>
      </c>
      <c r="G35" s="1">
        <v>7.2060000000000004</v>
      </c>
      <c r="H35" s="1">
        <v>0</v>
      </c>
    </row>
    <row r="36" spans="6:8" x14ac:dyDescent="0.2">
      <c r="F36" s="1">
        <v>2.1</v>
      </c>
      <c r="G36" s="1">
        <v>7.508</v>
      </c>
      <c r="H36" s="1">
        <v>5</v>
      </c>
    </row>
    <row r="37" spans="6:8" x14ac:dyDescent="0.2">
      <c r="F37" s="1">
        <v>1.6</v>
      </c>
      <c r="G37" s="1">
        <v>10.734999999999999</v>
      </c>
      <c r="H37" s="1">
        <v>8</v>
      </c>
    </row>
    <row r="38" spans="6:8" x14ac:dyDescent="0.2">
      <c r="F38" s="1">
        <v>1.6</v>
      </c>
      <c r="G38" s="1">
        <v>7.4630000000000001</v>
      </c>
      <c r="H38" s="1">
        <v>2</v>
      </c>
    </row>
    <row r="39" spans="6:8" x14ac:dyDescent="0.2">
      <c r="F39" s="1">
        <v>2.1</v>
      </c>
      <c r="G39" s="1">
        <v>12.272</v>
      </c>
      <c r="H39" s="1">
        <v>6</v>
      </c>
    </row>
    <row r="40" spans="6:8" x14ac:dyDescent="0.2">
      <c r="F40" s="1">
        <v>2.5</v>
      </c>
      <c r="G40" s="1">
        <v>7.8579999999999997</v>
      </c>
      <c r="H40" s="1">
        <v>0</v>
      </c>
    </row>
    <row r="41" spans="6:8" x14ac:dyDescent="0.2">
      <c r="F41" s="1">
        <v>1.1000000000000001</v>
      </c>
      <c r="G41" s="1">
        <v>11.242000000000001</v>
      </c>
      <c r="H41" s="1">
        <v>5</v>
      </c>
    </row>
    <row r="42" spans="6:8" x14ac:dyDescent="0.2">
      <c r="F42" s="1">
        <v>0.8</v>
      </c>
      <c r="G42" s="1">
        <v>10.765000000000001</v>
      </c>
      <c r="H42" s="1">
        <v>2</v>
      </c>
    </row>
    <row r="43" spans="6:8" x14ac:dyDescent="0.2">
      <c r="F43" s="1">
        <v>1.6</v>
      </c>
      <c r="G43" s="1">
        <v>12.746</v>
      </c>
      <c r="H43" s="1">
        <v>2</v>
      </c>
    </row>
    <row r="44" spans="6:8" x14ac:dyDescent="0.2">
      <c r="F44" s="1">
        <v>1.2</v>
      </c>
      <c r="G44" s="1">
        <v>7.2030000000000003</v>
      </c>
      <c r="H44" s="1">
        <v>2</v>
      </c>
    </row>
    <row r="45" spans="6:8" x14ac:dyDescent="0.2">
      <c r="F45" s="1">
        <v>0.8</v>
      </c>
      <c r="G45" s="1">
        <v>6.6230000000000002</v>
      </c>
      <c r="H45" s="1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 A</vt:lpstr>
      <vt:lpstr>Rep B</vt:lpstr>
      <vt:lpstr>Rep C</vt:lpstr>
      <vt:lpstr>Rep D</vt:lpstr>
      <vt:lpstr>dryweights</vt:lpstr>
      <vt:lpstr>Rep E</vt:lpstr>
      <vt:lpstr>RepEgalls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2026-04-25T00:00:48Z</dcterms:modified>
</cp:coreProperties>
</file>