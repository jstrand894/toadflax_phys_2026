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cksonstrand/Documents/GitHub/toadflax_phys_2026/data_in/"/>
    </mc:Choice>
  </mc:AlternateContent>
  <xr:revisionPtr revIDLastSave="0" documentId="13_ncr:1_{7AB14D33-5CBC-4D49-928B-D7742CAACF9A}" xr6:coauthVersionLast="47" xr6:coauthVersionMax="47" xr10:uidLastSave="{00000000-0000-0000-0000-000000000000}"/>
  <bookViews>
    <workbookView xWindow="4080" yWindow="1600" windowWidth="30240" windowHeight="18980" firstSheet="2" activeTab="7" xr2:uid="{576726BE-B199-8648-8F38-2B04CFC75E9F}"/>
    <workbookView xWindow="23280" yWindow="1600" windowWidth="15120" windowHeight="18980" activeTab="9" xr2:uid="{6DE00790-A58A-E54D-819F-535DD02970B7}"/>
    <workbookView xWindow="0" yWindow="1600" windowWidth="15120" windowHeight="18980" firstSheet="3" activeTab="9" xr2:uid="{46E8FCFD-E2EB-E24F-994A-A5751BCA9157}"/>
    <workbookView xWindow="0" yWindow="1600" windowWidth="15120" windowHeight="18980" firstSheet="3" activeTab="8" xr2:uid="{EA92633B-1538-9D42-8F0F-AA05C3960EB5}"/>
  </bookViews>
  <sheets>
    <sheet name="Rep A" sheetId="1" r:id="rId1"/>
    <sheet name="Rep B" sheetId="2" r:id="rId2"/>
    <sheet name="Rep C" sheetId="4" r:id="rId3"/>
    <sheet name="Rep D" sheetId="5" r:id="rId4"/>
    <sheet name="dryweights" sheetId="3" r:id="rId5"/>
    <sheet name="Rep E" sheetId="6" r:id="rId6"/>
    <sheet name="Rep F" sheetId="8" r:id="rId7"/>
    <sheet name="Rep G" sheetId="9" r:id="rId8"/>
    <sheet name="Rep H" sheetId="10" r:id="rId9"/>
    <sheet name="Galls" sheetId="7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" i="10" l="1"/>
  <c r="R1" i="10" s="1"/>
  <c r="T1" i="10" s="1"/>
  <c r="V1" i="10" s="1"/>
  <c r="X1" i="10" s="1"/>
  <c r="Z1" i="10" s="1"/>
  <c r="AB1" i="10" s="1"/>
  <c r="AD1" i="10" s="1"/>
  <c r="AF1" i="10" s="1"/>
  <c r="O1" i="10"/>
  <c r="Q1" i="10" s="1"/>
  <c r="S1" i="10" s="1"/>
  <c r="U1" i="10" s="1"/>
  <c r="W1" i="10" s="1"/>
  <c r="Y1" i="10" s="1"/>
  <c r="AA1" i="10" s="1"/>
  <c r="AC1" i="10" s="1"/>
  <c r="AE1" i="10" s="1"/>
  <c r="E72" i="3"/>
  <c r="E71" i="3"/>
  <c r="E70" i="3"/>
  <c r="C84" i="3"/>
  <c r="D84" i="3" s="1"/>
  <c r="C83" i="3"/>
  <c r="D83" i="3" s="1"/>
  <c r="C82" i="3"/>
  <c r="D82" i="3" s="1"/>
  <c r="C81" i="3"/>
  <c r="D81" i="3" s="1"/>
  <c r="C80" i="3"/>
  <c r="D80" i="3" s="1"/>
  <c r="C79" i="3"/>
  <c r="D79" i="3" s="1"/>
  <c r="C78" i="3"/>
  <c r="D78" i="3" s="1"/>
  <c r="C77" i="3"/>
  <c r="D77" i="3" s="1"/>
  <c r="C76" i="3"/>
  <c r="D76" i="3" s="1"/>
  <c r="C75" i="3"/>
  <c r="D75" i="3" s="1"/>
  <c r="C74" i="3"/>
  <c r="D74" i="3" s="1"/>
  <c r="C73" i="3"/>
  <c r="D73" i="3" s="1"/>
  <c r="C72" i="3"/>
  <c r="D72" i="3" s="1"/>
  <c r="C71" i="3"/>
  <c r="D71" i="3" s="1"/>
  <c r="C70" i="3"/>
  <c r="D70" i="3" s="1"/>
  <c r="P1" i="9"/>
  <c r="R1" i="9" s="1"/>
  <c r="T1" i="9" s="1"/>
  <c r="V1" i="9" s="1"/>
  <c r="X1" i="9" s="1"/>
  <c r="Z1" i="9" s="1"/>
  <c r="AB1" i="9" s="1"/>
  <c r="AD1" i="9" s="1"/>
  <c r="AF1" i="9" s="1"/>
  <c r="O1" i="9"/>
  <c r="Q1" i="9" s="1"/>
  <c r="S1" i="9" s="1"/>
  <c r="U1" i="9" s="1"/>
  <c r="W1" i="9" s="1"/>
  <c r="Y1" i="9" s="1"/>
  <c r="AA1" i="9" s="1"/>
  <c r="AC1" i="9" s="1"/>
  <c r="AE1" i="9" s="1"/>
  <c r="C54" i="3"/>
  <c r="D54" i="3" s="1"/>
  <c r="E54" i="3"/>
  <c r="C55" i="3"/>
  <c r="D55" i="3" s="1"/>
  <c r="E55" i="3"/>
  <c r="C56" i="3"/>
  <c r="D56" i="3" s="1"/>
  <c r="E56" i="3"/>
  <c r="C57" i="3"/>
  <c r="D57" i="3" s="1"/>
  <c r="E57" i="3"/>
  <c r="C58" i="3"/>
  <c r="D58" i="3" s="1"/>
  <c r="E58" i="3"/>
  <c r="C59" i="3"/>
  <c r="D59" i="3" s="1"/>
  <c r="E59" i="3"/>
  <c r="C60" i="3"/>
  <c r="D60" i="3" s="1"/>
  <c r="E60" i="3"/>
  <c r="C61" i="3"/>
  <c r="D61" i="3" s="1"/>
  <c r="E61" i="3"/>
  <c r="C62" i="3"/>
  <c r="D62" i="3" s="1"/>
  <c r="E62" i="3"/>
  <c r="C63" i="3"/>
  <c r="D63" i="3" s="1"/>
  <c r="E63" i="3"/>
  <c r="C64" i="3"/>
  <c r="D64" i="3" s="1"/>
  <c r="E64" i="3"/>
  <c r="C65" i="3"/>
  <c r="D65" i="3" s="1"/>
  <c r="E65" i="3"/>
  <c r="C66" i="3"/>
  <c r="D66" i="3" s="1"/>
  <c r="E66" i="3"/>
  <c r="C67" i="3"/>
  <c r="D67" i="3" s="1"/>
  <c r="E67" i="3"/>
  <c r="C68" i="3"/>
  <c r="D68" i="3" s="1"/>
  <c r="E68" i="3"/>
  <c r="C69" i="3"/>
  <c r="D69" i="3" s="1"/>
  <c r="E69" i="3"/>
  <c r="C53" i="3"/>
  <c r="D53" i="3" s="1"/>
  <c r="E53" i="3"/>
  <c r="C52" i="3"/>
  <c r="D52" i="3" s="1"/>
  <c r="E52" i="3"/>
  <c r="C51" i="3"/>
  <c r="D51" i="3" s="1"/>
  <c r="E51" i="3"/>
  <c r="C50" i="3"/>
  <c r="D50" i="3" s="1"/>
  <c r="E50" i="3"/>
  <c r="P1" i="8"/>
  <c r="R1" i="8" s="1"/>
  <c r="T1" i="8" s="1"/>
  <c r="V1" i="8" s="1"/>
  <c r="X1" i="8" s="1"/>
  <c r="Z1" i="8" s="1"/>
  <c r="AB1" i="8" s="1"/>
  <c r="AD1" i="8" s="1"/>
  <c r="AF1" i="8" s="1"/>
  <c r="O1" i="8"/>
  <c r="Q1" i="8" s="1"/>
  <c r="S1" i="8" s="1"/>
  <c r="U1" i="8" s="1"/>
  <c r="W1" i="8" s="1"/>
  <c r="Y1" i="8" s="1"/>
  <c r="AA1" i="8" s="1"/>
  <c r="AC1" i="8" s="1"/>
  <c r="AE1" i="8" s="1"/>
  <c r="C13" i="6"/>
  <c r="D13" i="6"/>
  <c r="C12" i="6"/>
  <c r="D12" i="6"/>
  <c r="C11" i="6"/>
  <c r="C10" i="6"/>
  <c r="C49" i="3"/>
  <c r="D49" i="3" s="1"/>
  <c r="E49" i="3"/>
  <c r="E8" i="7"/>
  <c r="E7" i="7"/>
  <c r="O1" i="6"/>
  <c r="Q1" i="6" s="1"/>
  <c r="S1" i="6" s="1"/>
  <c r="U1" i="6" s="1"/>
  <c r="W1" i="6" s="1"/>
  <c r="Y1" i="6" s="1"/>
  <c r="AA1" i="6" s="1"/>
  <c r="AC1" i="6" s="1"/>
  <c r="AE1" i="6" s="1"/>
  <c r="N1" i="6"/>
  <c r="P1" i="6" s="1"/>
  <c r="R1" i="6" s="1"/>
  <c r="T1" i="6" s="1"/>
  <c r="V1" i="6" s="1"/>
  <c r="X1" i="6" s="1"/>
  <c r="Z1" i="6" s="1"/>
  <c r="AB1" i="6" s="1"/>
  <c r="AD1" i="6" s="1"/>
  <c r="C48" i="3"/>
  <c r="D48" i="3"/>
  <c r="E48" i="3"/>
  <c r="C47" i="3"/>
  <c r="D47" i="3" s="1"/>
  <c r="E47" i="3"/>
  <c r="C46" i="3"/>
  <c r="D46" i="3" s="1"/>
  <c r="E46" i="3"/>
  <c r="C39" i="3"/>
  <c r="D39" i="3" s="1"/>
  <c r="E39" i="3"/>
  <c r="C40" i="3"/>
  <c r="D40" i="3" s="1"/>
  <c r="E40" i="3"/>
  <c r="C41" i="3"/>
  <c r="D41" i="3" s="1"/>
  <c r="E41" i="3"/>
  <c r="C42" i="3"/>
  <c r="D42" i="3" s="1"/>
  <c r="E42" i="3"/>
  <c r="C43" i="3"/>
  <c r="D43" i="3" s="1"/>
  <c r="E43" i="3"/>
  <c r="C44" i="3"/>
  <c r="D44" i="3" s="1"/>
  <c r="E44" i="3"/>
  <c r="C45" i="3"/>
  <c r="D45" i="3" s="1"/>
  <c r="E45" i="3"/>
  <c r="C38" i="3"/>
  <c r="D38" i="3" s="1"/>
  <c r="E38" i="3"/>
  <c r="C37" i="3"/>
  <c r="D37" i="3" s="1"/>
  <c r="E37" i="3"/>
  <c r="L1" i="5"/>
  <c r="N1" i="5" s="1"/>
  <c r="P1" i="5" s="1"/>
  <c r="R1" i="5" s="1"/>
  <c r="T1" i="5" s="1"/>
  <c r="V1" i="5" s="1"/>
  <c r="X1" i="5" s="1"/>
  <c r="Z1" i="5" s="1"/>
  <c r="AB1" i="5" s="1"/>
  <c r="K1" i="5"/>
  <c r="M1" i="5" s="1"/>
  <c r="O1" i="5" s="1"/>
  <c r="Q1" i="5" s="1"/>
  <c r="S1" i="5" s="1"/>
  <c r="U1" i="5" s="1"/>
  <c r="W1" i="5" s="1"/>
  <c r="Y1" i="5" s="1"/>
  <c r="AA1" i="5" s="1"/>
  <c r="C36" i="3"/>
  <c r="D36" i="3" s="1"/>
  <c r="E36" i="3"/>
  <c r="C35" i="3"/>
  <c r="D35" i="3" s="1"/>
  <c r="E35" i="3"/>
  <c r="C34" i="3"/>
  <c r="D34" i="3" s="1"/>
  <c r="E34" i="3"/>
  <c r="C33" i="3"/>
  <c r="D33" i="3" s="1"/>
  <c r="E33" i="3"/>
  <c r="C32" i="3"/>
  <c r="D32" i="3" s="1"/>
  <c r="E32" i="3"/>
  <c r="C31" i="3"/>
  <c r="D31" i="3" s="1"/>
  <c r="E31" i="3"/>
  <c r="C30" i="3"/>
  <c r="D30" i="3" s="1"/>
  <c r="E30" i="3"/>
  <c r="C29" i="3"/>
  <c r="D29" i="3"/>
  <c r="E29" i="3"/>
  <c r="C28" i="3"/>
  <c r="D28" i="3" s="1"/>
  <c r="E28" i="3"/>
  <c r="C27" i="3"/>
  <c r="D27" i="3" s="1"/>
  <c r="E27" i="3"/>
  <c r="C26" i="3"/>
  <c r="D26" i="3" s="1"/>
  <c r="E26" i="3"/>
  <c r="C25" i="3"/>
  <c r="D25" i="3" s="1"/>
  <c r="E25" i="3"/>
  <c r="L1" i="4"/>
  <c r="N1" i="4" s="1"/>
  <c r="P1" i="4" s="1"/>
  <c r="R1" i="4" s="1"/>
  <c r="T1" i="4" s="1"/>
  <c r="V1" i="4" s="1"/>
  <c r="X1" i="4" s="1"/>
  <c r="Z1" i="4" s="1"/>
  <c r="AB1" i="4" s="1"/>
  <c r="K1" i="4"/>
  <c r="M1" i="4" s="1"/>
  <c r="O1" i="4" s="1"/>
  <c r="Q1" i="4" s="1"/>
  <c r="S1" i="4" s="1"/>
  <c r="U1" i="4" s="1"/>
  <c r="W1" i="4" s="1"/>
  <c r="Y1" i="4" s="1"/>
  <c r="AA1" i="4" s="1"/>
  <c r="E14" i="3"/>
  <c r="E15" i="3"/>
  <c r="E16" i="3"/>
  <c r="E17" i="3"/>
  <c r="E18" i="3"/>
  <c r="E19" i="3"/>
  <c r="E20" i="3"/>
  <c r="E21" i="3"/>
  <c r="E22" i="3"/>
  <c r="E23" i="3"/>
  <c r="E24" i="3"/>
  <c r="E13" i="3"/>
  <c r="D14" i="3"/>
  <c r="D15" i="3"/>
  <c r="D20" i="3"/>
  <c r="D21" i="3"/>
  <c r="D22" i="3"/>
  <c r="D23" i="3"/>
  <c r="D24" i="3"/>
  <c r="D13" i="3"/>
  <c r="C24" i="3"/>
  <c r="C23" i="3"/>
  <c r="C22" i="3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D16" i="3" s="1"/>
  <c r="C17" i="3"/>
  <c r="D17" i="3" s="1"/>
  <c r="C18" i="3"/>
  <c r="D18" i="3" s="1"/>
  <c r="C19" i="3"/>
  <c r="D19" i="3" s="1"/>
  <c r="C20" i="3"/>
  <c r="C21" i="3"/>
  <c r="C2" i="3"/>
  <c r="K1" i="2"/>
  <c r="M1" i="2" s="1"/>
  <c r="O1" i="2" s="1"/>
  <c r="Q1" i="2" s="1"/>
  <c r="S1" i="2" s="1"/>
  <c r="U1" i="2" s="1"/>
  <c r="W1" i="2" s="1"/>
  <c r="Y1" i="2" s="1"/>
  <c r="AA1" i="2" s="1"/>
  <c r="L1" i="2"/>
  <c r="N1" i="2" s="1"/>
  <c r="P1" i="2" s="1"/>
  <c r="R1" i="2" s="1"/>
  <c r="T1" i="2" s="1"/>
  <c r="V1" i="2" s="1"/>
  <c r="X1" i="2" s="1"/>
  <c r="Z1" i="2" s="1"/>
  <c r="AB1" i="2" s="1"/>
  <c r="K12" i="1"/>
  <c r="E12" i="1" s="1"/>
  <c r="E8" i="1"/>
  <c r="E9" i="1"/>
  <c r="E10" i="1"/>
  <c r="E11" i="1"/>
  <c r="P7" i="1"/>
  <c r="E7" i="1" s="1"/>
  <c r="E6" i="1"/>
  <c r="E3" i="1"/>
  <c r="E4" i="1"/>
  <c r="E5" i="1"/>
  <c r="E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Jackson Strand</author>
  </authors>
  <commentList>
    <comment ref="K1" authorId="0" shapeId="0" xr:uid="{224110F2-35CD-9B48-9CBB-9415C5338116}">
      <text>
        <r>
          <rPr>
            <b/>
            <sz val="10"/>
            <color rgb="FF000000"/>
            <rFont val="Tahoma"/>
            <family val="2"/>
          </rPr>
          <t>Jackson Strand: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mecinus count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Jackson Strand</author>
  </authors>
  <commentList>
    <comment ref="L1" authorId="0" shapeId="0" xr:uid="{360F8DEE-9B1F-F44A-A446-1704832E8F24}">
      <text>
        <r>
          <rPr>
            <b/>
            <sz val="10"/>
            <color rgb="FF000000"/>
            <rFont val="Tahoma"/>
            <family val="2"/>
          </rPr>
          <t>Jackson Strand: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mecinus count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Jackson Strand</author>
  </authors>
  <commentList>
    <comment ref="L1" authorId="0" shapeId="0" xr:uid="{60EEBA40-A578-834D-B7E3-7D6E2CF44130}">
      <text>
        <r>
          <rPr>
            <b/>
            <sz val="10"/>
            <color rgb="FF000000"/>
            <rFont val="Tahoma"/>
            <family val="2"/>
          </rPr>
          <t>Jackson Strand: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mecinus count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Jackson Strand</author>
  </authors>
  <commentList>
    <comment ref="L1" authorId="0" shapeId="0" xr:uid="{4D793EF8-6F06-5C4C-92E2-561D8DA64613}">
      <text>
        <r>
          <rPr>
            <b/>
            <sz val="10"/>
            <color rgb="FF000000"/>
            <rFont val="Tahoma"/>
            <family val="2"/>
          </rPr>
          <t>Jackson Strand: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mecinus count
</t>
        </r>
      </text>
    </comment>
  </commentList>
</comments>
</file>

<file path=xl/sharedStrings.xml><?xml version="1.0" encoding="utf-8"?>
<sst xmlns="http://schemas.openxmlformats.org/spreadsheetml/2006/main" count="848" uniqueCount="140">
  <si>
    <t>date</t>
  </si>
  <si>
    <t>plant_id</t>
  </si>
  <si>
    <t>stem_count</t>
  </si>
  <si>
    <t>rep</t>
  </si>
  <si>
    <t>A</t>
  </si>
  <si>
    <t>D4C</t>
  </si>
  <si>
    <t>main_height</t>
  </si>
  <si>
    <t>main_diameter</t>
  </si>
  <si>
    <t>secondary_inf</t>
  </si>
  <si>
    <t>s_1</t>
  </si>
  <si>
    <t>s_2</t>
  </si>
  <si>
    <t>s_3</t>
  </si>
  <si>
    <t>s_4</t>
  </si>
  <si>
    <t>s_5</t>
  </si>
  <si>
    <t>s_6</t>
  </si>
  <si>
    <t>Y4C</t>
  </si>
  <si>
    <t>s_7</t>
  </si>
  <si>
    <t>marker_height</t>
  </si>
  <si>
    <t>s_8</t>
  </si>
  <si>
    <t>s_9</t>
  </si>
  <si>
    <t>Y3C</t>
  </si>
  <si>
    <t>Y1I</t>
  </si>
  <si>
    <t>larvae_count</t>
  </si>
  <si>
    <t>inf_1</t>
  </si>
  <si>
    <t>inf_2</t>
  </si>
  <si>
    <t>inf_3</t>
  </si>
  <si>
    <t>inf_4</t>
  </si>
  <si>
    <t>inf_5</t>
  </si>
  <si>
    <t>inf_6</t>
  </si>
  <si>
    <t>inf_7</t>
  </si>
  <si>
    <t>inf_8</t>
  </si>
  <si>
    <t>D2I</t>
  </si>
  <si>
    <t>notes</t>
  </si>
  <si>
    <t>f. I threw out the leaves before weighing main stem</t>
  </si>
  <si>
    <t>Y2I</t>
  </si>
  <si>
    <t>D3C</t>
  </si>
  <si>
    <t>D5I</t>
  </si>
  <si>
    <t>Y6I</t>
  </si>
  <si>
    <t>s_10</t>
  </si>
  <si>
    <t>inf_9</t>
  </si>
  <si>
    <t>inf_10</t>
  </si>
  <si>
    <t>s_11</t>
  </si>
  <si>
    <t>inf_11</t>
  </si>
  <si>
    <t>D6I</t>
  </si>
  <si>
    <t>D1I</t>
  </si>
  <si>
    <t>s_12</t>
  </si>
  <si>
    <t>s_13</t>
  </si>
  <si>
    <t>inf_12</t>
  </si>
  <si>
    <t>inf_13</t>
  </si>
  <si>
    <t>s_14</t>
  </si>
  <si>
    <t>s_15</t>
  </si>
  <si>
    <t>inf_14</t>
  </si>
  <si>
    <t>inf_15</t>
  </si>
  <si>
    <t>wet_wt(kg)</t>
  </si>
  <si>
    <t>B</t>
  </si>
  <si>
    <t>D4I</t>
  </si>
  <si>
    <t>Y5I</t>
  </si>
  <si>
    <t>low instar, very green stems</t>
  </si>
  <si>
    <t>high instar larvae</t>
  </si>
  <si>
    <t>side_wet(kg)</t>
  </si>
  <si>
    <t>main_wet(kg)</t>
  </si>
  <si>
    <t>plant</t>
  </si>
  <si>
    <t>treatment</t>
  </si>
  <si>
    <t>C</t>
  </si>
  <si>
    <t>I</t>
  </si>
  <si>
    <t>Y</t>
  </si>
  <si>
    <t>D</t>
  </si>
  <si>
    <t>lotttt of aphids, falling everywhere while manipulating the plnat</t>
  </si>
  <si>
    <t>Y6C</t>
  </si>
  <si>
    <t>so many aphids, lots of larvae</t>
  </si>
  <si>
    <t>D6C</t>
  </si>
  <si>
    <t>Y4I</t>
  </si>
  <si>
    <t>aphidy, lb larvae all over the place</t>
  </si>
  <si>
    <t>main_weight (kg)</t>
  </si>
  <si>
    <t>root_weight (kg)</t>
  </si>
  <si>
    <t>side_weight (kg)</t>
  </si>
  <si>
    <t>NAME</t>
  </si>
  <si>
    <t>D3I</t>
  </si>
  <si>
    <t>x</t>
  </si>
  <si>
    <t>D2C</t>
  </si>
  <si>
    <t>Y3I</t>
  </si>
  <si>
    <t>main stem had like 12 side stems from the base</t>
  </si>
  <si>
    <t>D1C</t>
  </si>
  <si>
    <t>Y2C</t>
  </si>
  <si>
    <t>Y1C</t>
  </si>
  <si>
    <t>E</t>
  </si>
  <si>
    <t>C2</t>
  </si>
  <si>
    <t>marker_2</t>
  </si>
  <si>
    <t>M1</t>
  </si>
  <si>
    <t>gc_main</t>
  </si>
  <si>
    <t>gc_side</t>
  </si>
  <si>
    <t>mc</t>
  </si>
  <si>
    <t>M2</t>
  </si>
  <si>
    <t>Sample</t>
  </si>
  <si>
    <t>Event</t>
  </si>
  <si>
    <t>G1H</t>
  </si>
  <si>
    <t>G1D</t>
  </si>
  <si>
    <t>Insects</t>
  </si>
  <si>
    <t>Rep</t>
  </si>
  <si>
    <t>Dead_egg</t>
  </si>
  <si>
    <t>Dead_neo</t>
  </si>
  <si>
    <t>cat</t>
  </si>
  <si>
    <t>M3</t>
  </si>
  <si>
    <t>m</t>
  </si>
  <si>
    <t>height</t>
  </si>
  <si>
    <t>m_s</t>
  </si>
  <si>
    <t>J1</t>
  </si>
  <si>
    <t>C3</t>
  </si>
  <si>
    <t>C1</t>
  </si>
  <si>
    <t>J3</t>
  </si>
  <si>
    <t>R1</t>
  </si>
  <si>
    <t>R2</t>
  </si>
  <si>
    <t>several small ones on side stems, above second marker</t>
  </si>
  <si>
    <t>J2</t>
  </si>
  <si>
    <t>R3</t>
  </si>
  <si>
    <t>m_s1</t>
  </si>
  <si>
    <t>m_s2</t>
  </si>
  <si>
    <t>F</t>
  </si>
  <si>
    <t>F2</t>
  </si>
  <si>
    <t>F3</t>
  </si>
  <si>
    <t>1st instar</t>
  </si>
  <si>
    <t>alive adult</t>
  </si>
  <si>
    <t>pupae</t>
  </si>
  <si>
    <t>other larvea</t>
  </si>
  <si>
    <t>M</t>
  </si>
  <si>
    <t>marker_3</t>
  </si>
  <si>
    <t>mys1</t>
  </si>
  <si>
    <t>mys2</t>
  </si>
  <si>
    <t>?</t>
  </si>
  <si>
    <t>m_stem</t>
  </si>
  <si>
    <t>m_side</t>
  </si>
  <si>
    <t>G</t>
  </si>
  <si>
    <t>-</t>
  </si>
  <si>
    <t>plus a bunhc of other tiny galls on the tips that I didn't feel like measuring</t>
  </si>
  <si>
    <t>J</t>
  </si>
  <si>
    <t>R</t>
  </si>
  <si>
    <t>H</t>
  </si>
  <si>
    <t>12 dead eggs/larvae</t>
  </si>
  <si>
    <t>12 dead eggs/1st instar</t>
  </si>
  <si>
    <t>2 dead e/1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</si>
</sst>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1"/>
      <name val="Aptos Narrow"/>
      <scheme val="minor"/>
    </font>
    <font>
      <sz val="10"/>
      <color rgb="FF000000"/>
      <name val="Tahoma"/>
      <family val="2"/>
    </font>
    <font>
      <b/>
      <sz val="10"/>
      <color rgb="FF00000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2" borderId="0" xfId="0" applyFill="1"/>
    <xf numFmtId="0" fontId="2" fillId="0" borderId="0" xfId="0" applyFont="1"/>
    <xf numFmtId="0" fontId="2" fillId="0" borderId="0" xfId="0" applyFont="1" applyAlignment="1">
      <alignment horizontal="center"/>
    </xf>
    <xf numFmtId="0" fontId="2" fillId="2" borderId="0" xfId="0" applyFont="1" applyFill="1"/>
    <xf numFmtId="0" fontId="2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/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3" fontId="0" fillId="0" borderId="0" xfId="0" applyNumberFormat="1" applyAlignment="1">
      <alignment horizont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C96995-580A-AA41-A09E-BA63400416FE}">
  <dimension ref="A1:AO13"/>
  <sheetViews>
    <sheetView zoomScale="140" zoomScaleNormal="140" workbookViewId="0">
      <selection activeCell="F20" sqref="F20"/>
    </sheetView>
    <sheetView workbookViewId="1"/>
    <sheetView workbookViewId="2"/>
    <sheetView workbookViewId="3"/>
  </sheetViews>
  <sheetFormatPr baseColWidth="10" defaultRowHeight="16" x14ac:dyDescent="0.2"/>
  <cols>
    <col min="1" max="5" width="10.83203125" style="1"/>
    <col min="6" max="6" width="11.1640625" style="1" bestFit="1" customWidth="1"/>
    <col min="7" max="7" width="13.33203125" style="1" bestFit="1" customWidth="1"/>
    <col min="8" max="8" width="12.6640625" style="1" bestFit="1" customWidth="1"/>
    <col min="9" max="9" width="11.6640625" style="1" bestFit="1" customWidth="1"/>
    <col min="10" max="10" width="12.5" style="1" bestFit="1" customWidth="1"/>
    <col min="11" max="14" width="5.33203125" style="1" bestFit="1" customWidth="1"/>
    <col min="15" max="15" width="6.5" style="1" bestFit="1" customWidth="1"/>
    <col min="16" max="16" width="5.33203125" style="1" bestFit="1" customWidth="1"/>
    <col min="17" max="19" width="5.33203125" bestFit="1" customWidth="1"/>
    <col min="20" max="25" width="5.33203125" customWidth="1"/>
    <col min="26" max="30" width="5.1640625" style="1" bestFit="1" customWidth="1"/>
    <col min="31" max="33" width="5.1640625" bestFit="1" customWidth="1"/>
    <col min="34" max="34" width="5.1640625" customWidth="1"/>
    <col min="35" max="35" width="6.1640625" bestFit="1" customWidth="1"/>
    <col min="36" max="40" width="6.1640625" customWidth="1"/>
  </cols>
  <sheetData>
    <row r="1" spans="1:41" x14ac:dyDescent="0.2">
      <c r="A1" s="1" t="s">
        <v>0</v>
      </c>
      <c r="B1" s="1" t="s">
        <v>3</v>
      </c>
      <c r="C1" s="1" t="s">
        <v>1</v>
      </c>
      <c r="D1" s="1" t="s">
        <v>53</v>
      </c>
      <c r="E1" s="1" t="s">
        <v>2</v>
      </c>
      <c r="F1" s="1" t="s">
        <v>6</v>
      </c>
      <c r="G1" s="1" t="s">
        <v>7</v>
      </c>
      <c r="H1" s="1" t="s">
        <v>17</v>
      </c>
      <c r="I1" s="1" t="s">
        <v>22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16</v>
      </c>
      <c r="R1" s="1" t="s">
        <v>18</v>
      </c>
      <c r="S1" s="1" t="s">
        <v>19</v>
      </c>
      <c r="T1" s="1" t="s">
        <v>38</v>
      </c>
      <c r="U1" s="1" t="s">
        <v>41</v>
      </c>
      <c r="V1" s="1" t="s">
        <v>45</v>
      </c>
      <c r="W1" s="1" t="s">
        <v>46</v>
      </c>
      <c r="X1" s="1" t="s">
        <v>49</v>
      </c>
      <c r="Y1" s="1" t="s">
        <v>50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39</v>
      </c>
      <c r="AI1" s="1" t="s">
        <v>40</v>
      </c>
      <c r="AJ1" s="1" t="s">
        <v>42</v>
      </c>
      <c r="AK1" s="1" t="s">
        <v>47</v>
      </c>
      <c r="AL1" s="1" t="s">
        <v>48</v>
      </c>
      <c r="AM1" s="1" t="s">
        <v>51</v>
      </c>
      <c r="AN1" s="1" t="s">
        <v>52</v>
      </c>
      <c r="AO1" s="1" t="s">
        <v>32</v>
      </c>
    </row>
    <row r="2" spans="1:41" x14ac:dyDescent="0.2">
      <c r="A2" s="2">
        <v>46101</v>
      </c>
      <c r="B2" s="1" t="s">
        <v>4</v>
      </c>
      <c r="C2" s="1" t="s">
        <v>5</v>
      </c>
      <c r="D2" s="1">
        <v>4.0500000000000001E-2</v>
      </c>
      <c r="E2" s="1">
        <f>COUNTA(K2:AA2)+1</f>
        <v>8</v>
      </c>
      <c r="F2" s="1">
        <v>85</v>
      </c>
      <c r="G2" s="1">
        <v>4.5819999999999999</v>
      </c>
      <c r="H2" s="1">
        <v>10.7</v>
      </c>
      <c r="K2" s="1">
        <v>30.1</v>
      </c>
      <c r="L2" s="1">
        <v>48.6</v>
      </c>
      <c r="M2" s="1">
        <v>59.5</v>
      </c>
      <c r="N2" s="1">
        <v>77.5</v>
      </c>
      <c r="O2" s="1">
        <v>105.7</v>
      </c>
      <c r="P2" s="1">
        <v>65.599999999999994</v>
      </c>
      <c r="Q2" s="1">
        <v>35.700000000000003</v>
      </c>
    </row>
    <row r="3" spans="1:41" x14ac:dyDescent="0.2">
      <c r="A3" s="2">
        <v>46101</v>
      </c>
      <c r="B3" s="1" t="s">
        <v>4</v>
      </c>
      <c r="C3" s="1" t="s">
        <v>15</v>
      </c>
      <c r="D3" s="1">
        <v>1.32E-2</v>
      </c>
      <c r="E3" s="1">
        <f t="shared" ref="E3:E11" si="0">COUNTA(K3:AA3)+1</f>
        <v>5</v>
      </c>
      <c r="F3" s="1">
        <v>66.3</v>
      </c>
      <c r="G3" s="1">
        <v>3.714</v>
      </c>
      <c r="H3" s="1">
        <v>22.7</v>
      </c>
      <c r="K3" s="1">
        <v>56.2</v>
      </c>
      <c r="L3" s="1">
        <v>54.3</v>
      </c>
      <c r="M3" s="1">
        <v>15.4</v>
      </c>
      <c r="N3" s="1">
        <v>12.9</v>
      </c>
    </row>
    <row r="4" spans="1:41" x14ac:dyDescent="0.2">
      <c r="A4" s="2">
        <v>46101</v>
      </c>
      <c r="B4" s="1" t="s">
        <v>4</v>
      </c>
      <c r="C4" s="1" t="s">
        <v>20</v>
      </c>
      <c r="D4" s="1">
        <v>1.3899999999999999E-2</v>
      </c>
      <c r="E4" s="1">
        <f t="shared" si="0"/>
        <v>10</v>
      </c>
      <c r="F4" s="1">
        <v>70.400000000000006</v>
      </c>
      <c r="G4" s="1">
        <v>3.6829999999999998</v>
      </c>
      <c r="H4" s="1">
        <v>18</v>
      </c>
      <c r="K4" s="1">
        <v>41.1</v>
      </c>
      <c r="L4" s="1">
        <v>67.099999999999994</v>
      </c>
      <c r="M4" s="1">
        <v>63.5</v>
      </c>
      <c r="N4" s="1">
        <v>62.7</v>
      </c>
      <c r="O4" s="1">
        <v>55.9</v>
      </c>
      <c r="P4" s="1">
        <v>48.1</v>
      </c>
      <c r="Q4" s="1">
        <v>33.200000000000003</v>
      </c>
      <c r="R4" s="1">
        <v>39.200000000000003</v>
      </c>
      <c r="S4" s="1">
        <v>69.2</v>
      </c>
      <c r="T4" s="1"/>
      <c r="U4" s="1"/>
      <c r="V4" s="1"/>
      <c r="W4" s="1"/>
      <c r="X4" s="1"/>
      <c r="Y4" s="1"/>
    </row>
    <row r="5" spans="1:41" x14ac:dyDescent="0.2">
      <c r="A5" s="2">
        <v>46101</v>
      </c>
      <c r="B5" s="1" t="s">
        <v>4</v>
      </c>
      <c r="C5" s="1" t="s">
        <v>21</v>
      </c>
      <c r="D5" s="1">
        <v>4.7000000000000002E-3</v>
      </c>
      <c r="E5" s="1">
        <f t="shared" si="0"/>
        <v>11</v>
      </c>
      <c r="F5" s="1">
        <v>49.6</v>
      </c>
      <c r="G5" s="1">
        <v>3.6320000000000001</v>
      </c>
      <c r="H5" s="1">
        <v>11.7</v>
      </c>
      <c r="I5" s="1">
        <v>6</v>
      </c>
      <c r="K5" s="1">
        <v>47.6</v>
      </c>
      <c r="L5" s="1">
        <v>53.4</v>
      </c>
      <c r="M5" s="1">
        <v>52.4</v>
      </c>
      <c r="N5" s="1">
        <v>50.6</v>
      </c>
      <c r="O5" s="1">
        <v>55.7</v>
      </c>
      <c r="P5" s="1">
        <v>46.7</v>
      </c>
      <c r="Q5" s="1">
        <v>40.700000000000003</v>
      </c>
      <c r="R5" s="1">
        <v>46.5</v>
      </c>
      <c r="Z5" s="1">
        <v>3</v>
      </c>
      <c r="AA5" s="1">
        <v>5</v>
      </c>
      <c r="AB5" s="1">
        <v>2</v>
      </c>
      <c r="AC5" s="1">
        <v>3</v>
      </c>
      <c r="AD5" s="1">
        <v>7</v>
      </c>
      <c r="AE5" s="1">
        <v>5</v>
      </c>
      <c r="AF5" s="1">
        <v>6</v>
      </c>
      <c r="AG5" s="1">
        <v>12</v>
      </c>
      <c r="AH5" s="1"/>
      <c r="AI5" s="1"/>
      <c r="AJ5" s="1"/>
      <c r="AK5" s="1"/>
      <c r="AL5" s="1"/>
      <c r="AM5" s="1"/>
      <c r="AN5" s="1"/>
    </row>
    <row r="6" spans="1:41" x14ac:dyDescent="0.2">
      <c r="A6" s="2">
        <v>46101</v>
      </c>
      <c r="B6" s="1" t="s">
        <v>4</v>
      </c>
      <c r="C6" s="1" t="s">
        <v>31</v>
      </c>
      <c r="D6" s="1">
        <v>3.0599999999999999E-2</v>
      </c>
      <c r="E6" s="1">
        <f t="shared" si="0"/>
        <v>6</v>
      </c>
      <c r="F6" s="1">
        <v>62.2</v>
      </c>
      <c r="G6" s="1">
        <v>6.0250000000000004</v>
      </c>
      <c r="H6" s="1">
        <v>15.1</v>
      </c>
      <c r="I6" s="1">
        <v>7</v>
      </c>
      <c r="K6" s="1">
        <v>64.8</v>
      </c>
      <c r="L6" s="1">
        <v>55.9</v>
      </c>
      <c r="M6" s="1">
        <v>69.900000000000006</v>
      </c>
      <c r="Z6" s="1">
        <v>12</v>
      </c>
      <c r="AA6" s="1">
        <v>10</v>
      </c>
      <c r="AB6" s="1">
        <v>15</v>
      </c>
      <c r="AO6" t="s">
        <v>33</v>
      </c>
    </row>
    <row r="7" spans="1:41" x14ac:dyDescent="0.2">
      <c r="A7" s="2">
        <v>46101</v>
      </c>
      <c r="B7" s="1" t="s">
        <v>4</v>
      </c>
      <c r="C7" s="1" t="s">
        <v>34</v>
      </c>
      <c r="D7" s="1">
        <v>1.03E-2</v>
      </c>
      <c r="E7" s="1">
        <f t="shared" si="0"/>
        <v>12</v>
      </c>
      <c r="F7" s="1">
        <v>49.2</v>
      </c>
      <c r="G7" s="1">
        <v>2.2000000000000002</v>
      </c>
      <c r="H7" s="1">
        <v>7.9</v>
      </c>
      <c r="I7" s="1">
        <v>4</v>
      </c>
      <c r="K7" s="1">
        <v>41.3</v>
      </c>
      <c r="L7" s="1">
        <v>38.5</v>
      </c>
      <c r="M7" s="1">
        <v>40.200000000000003</v>
      </c>
      <c r="N7" s="1">
        <v>56.4</v>
      </c>
      <c r="O7" s="1">
        <v>29.1</v>
      </c>
      <c r="P7" s="1">
        <f>23+7.6</f>
        <v>30.6</v>
      </c>
      <c r="Q7" s="1">
        <v>34.1</v>
      </c>
      <c r="R7" s="1">
        <v>47.2</v>
      </c>
      <c r="S7" s="1">
        <v>35.1</v>
      </c>
      <c r="T7" s="1"/>
      <c r="U7" s="1"/>
      <c r="V7" s="1"/>
      <c r="W7" s="1"/>
      <c r="X7" s="1"/>
      <c r="Y7" s="1"/>
      <c r="Z7" s="1">
        <v>11</v>
      </c>
      <c r="AA7" s="1">
        <v>5</v>
      </c>
      <c r="AB7" s="1">
        <v>3</v>
      </c>
      <c r="AC7" s="1">
        <v>12</v>
      </c>
      <c r="AD7" s="1">
        <v>6</v>
      </c>
      <c r="AE7" s="1">
        <v>8</v>
      </c>
      <c r="AF7" s="1">
        <v>7</v>
      </c>
      <c r="AG7" s="1">
        <v>8</v>
      </c>
      <c r="AH7" s="1"/>
      <c r="AI7" s="1"/>
      <c r="AJ7" s="1"/>
      <c r="AK7" s="1"/>
      <c r="AL7" s="1"/>
      <c r="AM7" s="1"/>
      <c r="AN7" s="1"/>
    </row>
    <row r="8" spans="1:41" x14ac:dyDescent="0.2">
      <c r="A8" s="2">
        <v>46101</v>
      </c>
      <c r="B8" s="1" t="s">
        <v>4</v>
      </c>
      <c r="C8" s="1" t="s">
        <v>35</v>
      </c>
      <c r="D8" s="1">
        <v>7.7499999999999999E-2</v>
      </c>
      <c r="E8" s="1">
        <f t="shared" si="0"/>
        <v>1</v>
      </c>
      <c r="F8" s="1">
        <v>66.099999999999994</v>
      </c>
      <c r="G8" s="1">
        <v>3.7370000000000001</v>
      </c>
      <c r="H8" s="1">
        <v>21.1</v>
      </c>
    </row>
    <row r="9" spans="1:41" x14ac:dyDescent="0.2">
      <c r="A9" s="2">
        <v>46101</v>
      </c>
      <c r="B9" s="1" t="s">
        <v>4</v>
      </c>
      <c r="C9" s="1" t="s">
        <v>36</v>
      </c>
      <c r="D9" s="1">
        <v>1.38E-2</v>
      </c>
      <c r="E9" s="1">
        <f t="shared" si="0"/>
        <v>7</v>
      </c>
      <c r="F9" s="1">
        <v>41.7</v>
      </c>
      <c r="G9" s="1">
        <v>4.7539999999999996</v>
      </c>
      <c r="H9" s="1">
        <v>7.1</v>
      </c>
      <c r="I9" s="1">
        <v>12</v>
      </c>
      <c r="K9" s="1">
        <v>32.799999999999997</v>
      </c>
      <c r="L9" s="1">
        <v>37.799999999999997</v>
      </c>
      <c r="M9" s="1">
        <v>42.5</v>
      </c>
      <c r="N9" s="1">
        <v>44.9</v>
      </c>
      <c r="Z9" s="1">
        <v>0</v>
      </c>
      <c r="AA9" s="1">
        <v>4</v>
      </c>
      <c r="AB9" s="1">
        <v>8</v>
      </c>
      <c r="AC9" s="1">
        <v>12</v>
      </c>
    </row>
    <row r="10" spans="1:41" x14ac:dyDescent="0.2">
      <c r="A10" s="2">
        <v>46101</v>
      </c>
      <c r="B10" s="1" t="s">
        <v>4</v>
      </c>
      <c r="C10" s="1" t="s">
        <v>37</v>
      </c>
      <c r="D10" s="1">
        <v>1.8E-3</v>
      </c>
      <c r="E10" s="1">
        <f>COUNTA(K10:AA10)+1</f>
        <v>14</v>
      </c>
      <c r="F10" s="1">
        <v>24.9</v>
      </c>
      <c r="G10" s="1">
        <v>1.637</v>
      </c>
      <c r="H10" s="1">
        <v>8.8000000000000007</v>
      </c>
      <c r="I10" s="1">
        <v>10</v>
      </c>
      <c r="K10" s="1">
        <v>36.200000000000003</v>
      </c>
      <c r="L10" s="1">
        <v>34.5</v>
      </c>
      <c r="M10" s="1">
        <v>33.1</v>
      </c>
      <c r="N10" s="1">
        <v>47.5</v>
      </c>
      <c r="O10" s="1">
        <v>31.2</v>
      </c>
      <c r="P10" s="1">
        <v>31.9</v>
      </c>
      <c r="Q10" s="1">
        <v>15.1</v>
      </c>
      <c r="R10" s="1">
        <v>11.5</v>
      </c>
      <c r="S10" s="1">
        <v>13.6</v>
      </c>
      <c r="T10" s="1">
        <v>38.4</v>
      </c>
      <c r="U10" s="1">
        <v>38.1</v>
      </c>
      <c r="V10" s="1"/>
      <c r="W10" s="1"/>
      <c r="X10" s="1"/>
      <c r="Y10" s="1"/>
      <c r="Z10" s="1">
        <v>12</v>
      </c>
      <c r="AA10" s="1">
        <v>13</v>
      </c>
      <c r="AB10" s="1">
        <v>14</v>
      </c>
      <c r="AC10" s="1">
        <v>16</v>
      </c>
      <c r="AD10" s="1">
        <v>17</v>
      </c>
      <c r="AE10" s="1">
        <v>7</v>
      </c>
      <c r="AI10" s="1">
        <v>16</v>
      </c>
      <c r="AJ10" s="1">
        <v>13</v>
      </c>
      <c r="AK10" s="1"/>
      <c r="AL10" s="1"/>
      <c r="AM10" s="1"/>
      <c r="AN10" s="1"/>
    </row>
    <row r="11" spans="1:41" x14ac:dyDescent="0.2">
      <c r="A11" s="2">
        <v>46101</v>
      </c>
      <c r="B11" s="1" t="s">
        <v>4</v>
      </c>
      <c r="C11" s="1" t="s">
        <v>43</v>
      </c>
      <c r="D11" s="1">
        <v>4.7199999999999999E-2</v>
      </c>
      <c r="E11" s="1">
        <f t="shared" si="0"/>
        <v>1</v>
      </c>
      <c r="F11" s="1">
        <v>63.4</v>
      </c>
      <c r="G11" s="1">
        <v>6.0380000000000003</v>
      </c>
      <c r="H11" s="1">
        <v>8</v>
      </c>
      <c r="I11" s="1">
        <v>22</v>
      </c>
    </row>
    <row r="12" spans="1:41" x14ac:dyDescent="0.2">
      <c r="A12" s="2">
        <v>46101</v>
      </c>
      <c r="B12" s="1" t="s">
        <v>4</v>
      </c>
      <c r="C12" s="1" t="s">
        <v>44</v>
      </c>
      <c r="D12" s="1">
        <v>1.6299999999999999E-2</v>
      </c>
      <c r="E12" s="1">
        <f>COUNTA(K12:U12)+1</f>
        <v>12</v>
      </c>
      <c r="F12" s="1">
        <v>45.8</v>
      </c>
      <c r="G12" s="1">
        <v>4.5010000000000003</v>
      </c>
      <c r="H12" s="1">
        <v>8.6999999999999993</v>
      </c>
      <c r="I12" s="1">
        <v>4</v>
      </c>
      <c r="K12" s="1">
        <f>31.7+7.1</f>
        <v>38.799999999999997</v>
      </c>
      <c r="L12" s="1">
        <v>16.8</v>
      </c>
      <c r="M12" s="1">
        <v>72.099999999999994</v>
      </c>
      <c r="N12" s="1">
        <v>63.9</v>
      </c>
      <c r="O12" s="1">
        <v>65.7</v>
      </c>
      <c r="P12" s="1">
        <v>59.7</v>
      </c>
      <c r="Q12" s="1">
        <v>67.2</v>
      </c>
      <c r="R12" s="1">
        <v>63.5</v>
      </c>
      <c r="S12" s="1">
        <v>20.8</v>
      </c>
      <c r="T12" s="1">
        <v>45.7</v>
      </c>
      <c r="U12" s="1">
        <v>22.7</v>
      </c>
      <c r="V12" s="1">
        <v>63.5</v>
      </c>
      <c r="W12" s="1">
        <v>32</v>
      </c>
      <c r="X12" s="1">
        <v>71.400000000000006</v>
      </c>
      <c r="Y12" s="1">
        <v>65.900000000000006</v>
      </c>
      <c r="Z12" s="1">
        <v>0</v>
      </c>
      <c r="AA12" s="1">
        <v>0</v>
      </c>
      <c r="AB12" s="1">
        <v>2</v>
      </c>
      <c r="AC12" s="1">
        <v>0</v>
      </c>
      <c r="AD12" s="1">
        <v>1</v>
      </c>
      <c r="AE12" s="1">
        <v>1</v>
      </c>
      <c r="AF12" s="1">
        <v>7</v>
      </c>
      <c r="AG12" s="1">
        <v>10</v>
      </c>
      <c r="AH12" s="1">
        <v>0</v>
      </c>
      <c r="AI12" s="1">
        <v>1</v>
      </c>
      <c r="AJ12" s="1">
        <v>0</v>
      </c>
      <c r="AK12" s="1">
        <v>0</v>
      </c>
      <c r="AL12" s="1">
        <v>0</v>
      </c>
      <c r="AM12" s="1">
        <v>12</v>
      </c>
      <c r="AN12" s="1">
        <v>12</v>
      </c>
    </row>
    <row r="13" spans="1:41" x14ac:dyDescent="0.2">
      <c r="A13" s="2">
        <v>46107</v>
      </c>
      <c r="B13" s="1" t="s">
        <v>54</v>
      </c>
      <c r="K13" s="1">
        <v>23.2</v>
      </c>
    </row>
  </sheetData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3C022-9765-1546-B6F3-7B79E85A344E}">
  <dimension ref="A1:AI13"/>
  <sheetViews>
    <sheetView zoomScale="150" zoomScaleNormal="150" workbookViewId="0">
      <pane ySplit="1" topLeftCell="A2" activePane="bottomLeft" state="frozen"/>
      <selection activeCell="N1" sqref="N1"/>
      <selection pane="bottomLeft" sqref="A1:XFD1"/>
    </sheetView>
    <sheetView workbookViewId="1"/>
    <sheetView workbookViewId="2"/>
    <sheetView workbookViewId="3"/>
  </sheetViews>
  <sheetFormatPr baseColWidth="10" defaultRowHeight="16" x14ac:dyDescent="0.2"/>
  <cols>
    <col min="3" max="3" width="12.5" bestFit="1" customWidth="1"/>
    <col min="4" max="4" width="11.83203125" bestFit="1" customWidth="1"/>
    <col min="5" max="5" width="11.33203125" style="1" bestFit="1" customWidth="1"/>
    <col min="6" max="6" width="13.6640625" style="1" bestFit="1" customWidth="1"/>
    <col min="7" max="7" width="13.1640625" style="1" bestFit="1" customWidth="1"/>
    <col min="8" max="8" width="11.6640625" style="1" bestFit="1" customWidth="1"/>
    <col min="9" max="9" width="5.1640625" style="10" bestFit="1" customWidth="1"/>
    <col min="10" max="10" width="5.1640625" style="1" bestFit="1" customWidth="1"/>
    <col min="11" max="11" width="5.1640625" style="8" bestFit="1" customWidth="1"/>
    <col min="12" max="12" width="5.1640625" style="1" bestFit="1" customWidth="1"/>
    <col min="13" max="13" width="4.1640625" style="8" bestFit="1" customWidth="1"/>
    <col min="14" max="14" width="5.1640625" style="1" bestFit="1" customWidth="1"/>
    <col min="15" max="15" width="5.1640625" style="8" bestFit="1" customWidth="1"/>
    <col min="16" max="16" width="5.1640625" style="1" bestFit="1" customWidth="1"/>
    <col min="17" max="17" width="5.1640625" style="8" bestFit="1" customWidth="1"/>
    <col min="18" max="18" width="5.1640625" style="1" bestFit="1" customWidth="1"/>
    <col min="19" max="19" width="5.1640625" style="8" bestFit="1" customWidth="1"/>
    <col min="20" max="20" width="5.1640625" style="1" bestFit="1" customWidth="1"/>
    <col min="21" max="21" width="5.1640625" style="8" bestFit="1" customWidth="1"/>
    <col min="22" max="22" width="5.1640625" style="1" bestFit="1" customWidth="1"/>
    <col min="23" max="23" width="5.1640625" style="8" bestFit="1" customWidth="1"/>
    <col min="24" max="24" width="5.1640625" style="1" bestFit="1" customWidth="1"/>
    <col min="25" max="25" width="4" style="8" bestFit="1" customWidth="1"/>
    <col min="26" max="26" width="5.1640625" style="1" bestFit="1" customWidth="1"/>
    <col min="27" max="27" width="5" style="8" bestFit="1" customWidth="1"/>
    <col min="28" max="28" width="6.1640625" style="1" bestFit="1" customWidth="1"/>
    <col min="29" max="29" width="5" style="8" bestFit="1" customWidth="1"/>
    <col min="30" max="30" width="6.1640625" style="1" bestFit="1" customWidth="1"/>
    <col min="31" max="31" width="5" style="3" bestFit="1" customWidth="1"/>
    <col min="32" max="32" width="6.1640625" bestFit="1" customWidth="1"/>
    <col min="33" max="34" width="6.1640625" customWidth="1"/>
  </cols>
  <sheetData>
    <row r="1" spans="1:35" s="4" customFormat="1" x14ac:dyDescent="0.2">
      <c r="A1" s="4" t="s">
        <v>3</v>
      </c>
      <c r="B1" s="4" t="s">
        <v>1</v>
      </c>
      <c r="C1" s="4" t="s">
        <v>60</v>
      </c>
      <c r="D1" s="4" t="s">
        <v>59</v>
      </c>
      <c r="E1" s="5" t="s">
        <v>6</v>
      </c>
      <c r="F1" s="5" t="s">
        <v>7</v>
      </c>
      <c r="G1" s="5" t="s">
        <v>17</v>
      </c>
      <c r="H1" s="5" t="s">
        <v>22</v>
      </c>
      <c r="I1" s="9" t="s">
        <v>9</v>
      </c>
      <c r="J1" s="5" t="s">
        <v>23</v>
      </c>
      <c r="K1" s="7" t="str">
        <f>"s_"&amp;RIGHT(I1,1)+1</f>
        <v>s_2</v>
      </c>
      <c r="L1" s="5" t="str">
        <f>"inf_"&amp;RIGHT(J1,1)+1</f>
        <v>inf_2</v>
      </c>
      <c r="M1" s="7" t="str">
        <f t="shared" ref="M1" si="0">"s_"&amp;RIGHT(K1,1)+1</f>
        <v>s_3</v>
      </c>
      <c r="N1" s="5" t="str">
        <f t="shared" ref="N1" si="1">"inf_"&amp;RIGHT(L1,1)+1</f>
        <v>inf_3</v>
      </c>
      <c r="O1" s="7" t="str">
        <f t="shared" ref="O1" si="2">"s_"&amp;RIGHT(M1,1)+1</f>
        <v>s_4</v>
      </c>
      <c r="P1" s="5" t="str">
        <f t="shared" ref="P1" si="3">"inf_"&amp;RIGHT(N1,1)+1</f>
        <v>inf_4</v>
      </c>
      <c r="Q1" s="7" t="str">
        <f t="shared" ref="Q1" si="4">"s_"&amp;RIGHT(O1,1)+1</f>
        <v>s_5</v>
      </c>
      <c r="R1" s="5" t="str">
        <f t="shared" ref="R1" si="5">"inf_"&amp;RIGHT(P1,1)+1</f>
        <v>inf_5</v>
      </c>
      <c r="S1" s="7" t="str">
        <f t="shared" ref="S1" si="6">"s_"&amp;RIGHT(Q1,1)+1</f>
        <v>s_6</v>
      </c>
      <c r="T1" s="5" t="str">
        <f t="shared" ref="T1" si="7">"inf_"&amp;RIGHT(R1,1)+1</f>
        <v>inf_6</v>
      </c>
      <c r="U1" s="7" t="str">
        <f t="shared" ref="U1" si="8">"s_"&amp;RIGHT(S1,1)+1</f>
        <v>s_7</v>
      </c>
      <c r="V1" s="5" t="str">
        <f t="shared" ref="V1" si="9">"inf_"&amp;RIGHT(T1,1)+1</f>
        <v>inf_7</v>
      </c>
      <c r="W1" s="7" t="str">
        <f t="shared" ref="W1" si="10">"s_"&amp;RIGHT(U1,1)+1</f>
        <v>s_8</v>
      </c>
      <c r="X1" s="5" t="str">
        <f t="shared" ref="X1" si="11">"inf_"&amp;RIGHT(V1,1)+1</f>
        <v>inf_8</v>
      </c>
      <c r="Y1" s="7" t="str">
        <f t="shared" ref="Y1" si="12">"s_"&amp;RIGHT(W1,1)+1</f>
        <v>s_9</v>
      </c>
      <c r="Z1" s="5" t="str">
        <f t="shared" ref="Z1" si="13">"inf_"&amp;RIGHT(X1,1)+1</f>
        <v>inf_9</v>
      </c>
      <c r="AA1" s="7" t="str">
        <f t="shared" ref="AA1" si="14">"s_"&amp;RIGHT(Y1,1)+1</f>
        <v>s_10</v>
      </c>
      <c r="AB1" s="5" t="str">
        <f t="shared" ref="AB1" si="15">"inf_"&amp;RIGHT(Z1,1)+1</f>
        <v>inf_10</v>
      </c>
      <c r="AC1" s="7" t="s">
        <v>41</v>
      </c>
      <c r="AD1" s="5" t="s">
        <v>42</v>
      </c>
      <c r="AE1" s="6" t="s">
        <v>45</v>
      </c>
      <c r="AF1" s="4" t="s">
        <v>47</v>
      </c>
      <c r="AG1" s="4" t="s">
        <v>46</v>
      </c>
      <c r="AH1" s="4" t="s">
        <v>48</v>
      </c>
      <c r="AI1" s="4" t="s">
        <v>32</v>
      </c>
    </row>
    <row r="2" spans="1:35" x14ac:dyDescent="0.2">
      <c r="A2" t="s">
        <v>54</v>
      </c>
      <c r="B2" t="s">
        <v>55</v>
      </c>
      <c r="C2">
        <v>8.3499999999999998E-3</v>
      </c>
      <c r="D2">
        <v>4.088E-2</v>
      </c>
      <c r="E2" s="1">
        <v>49.3</v>
      </c>
      <c r="F2" s="1">
        <v>3.1440000000000001</v>
      </c>
      <c r="G2" s="1">
        <v>12.5</v>
      </c>
      <c r="H2" s="1">
        <v>10</v>
      </c>
      <c r="I2" s="10">
        <v>23.2</v>
      </c>
      <c r="J2" s="1">
        <v>0</v>
      </c>
      <c r="K2" s="8">
        <v>20.5</v>
      </c>
      <c r="L2" s="1">
        <v>3</v>
      </c>
      <c r="M2" s="8">
        <v>5.3</v>
      </c>
      <c r="N2" s="1">
        <v>0</v>
      </c>
      <c r="O2" s="8">
        <v>49.3</v>
      </c>
      <c r="P2" s="1">
        <v>20</v>
      </c>
      <c r="Q2" s="8">
        <v>44.4</v>
      </c>
      <c r="R2" s="1">
        <v>16</v>
      </c>
      <c r="S2" s="8">
        <v>34.6</v>
      </c>
      <c r="T2" s="1">
        <v>4</v>
      </c>
      <c r="U2" s="8">
        <v>41.5</v>
      </c>
      <c r="V2" s="1">
        <v>6</v>
      </c>
      <c r="W2" s="8">
        <v>49.4</v>
      </c>
      <c r="X2" s="1">
        <v>8</v>
      </c>
      <c r="Y2" s="8">
        <v>24</v>
      </c>
      <c r="Z2" s="1">
        <v>8</v>
      </c>
      <c r="AA2" s="8">
        <v>33.299999999999997</v>
      </c>
      <c r="AB2" s="1">
        <v>9</v>
      </c>
      <c r="AC2" s="8">
        <v>42.9</v>
      </c>
      <c r="AD2" s="1">
        <v>4</v>
      </c>
      <c r="AE2" s="3">
        <v>19.100000000000001</v>
      </c>
      <c r="AF2">
        <v>0</v>
      </c>
      <c r="AI2" t="s">
        <v>58</v>
      </c>
    </row>
    <row r="3" spans="1:35" x14ac:dyDescent="0.2">
      <c r="A3" t="s">
        <v>54</v>
      </c>
      <c r="B3" t="s">
        <v>34</v>
      </c>
      <c r="C3">
        <v>4.4819999999999999E-2</v>
      </c>
      <c r="D3">
        <v>2.3609999999999999E-2</v>
      </c>
      <c r="E3" s="1">
        <v>38.9</v>
      </c>
      <c r="F3" s="1">
        <v>3.996</v>
      </c>
      <c r="G3" s="1">
        <v>4.5999999999999996</v>
      </c>
      <c r="H3" s="1">
        <v>15</v>
      </c>
      <c r="I3" s="10">
        <v>48.7</v>
      </c>
      <c r="J3" s="1">
        <v>14</v>
      </c>
      <c r="K3" s="8">
        <v>20.5</v>
      </c>
      <c r="L3" s="1">
        <v>0</v>
      </c>
      <c r="M3" s="8">
        <v>14.8</v>
      </c>
      <c r="N3" s="1">
        <v>0</v>
      </c>
      <c r="O3" s="8">
        <v>50.3</v>
      </c>
      <c r="P3" s="1">
        <v>10</v>
      </c>
    </row>
    <row r="4" spans="1:35" x14ac:dyDescent="0.2">
      <c r="A4" t="s">
        <v>54</v>
      </c>
      <c r="B4" t="s">
        <v>35</v>
      </c>
      <c r="C4">
        <v>5.9429999999999997E-2</v>
      </c>
      <c r="D4">
        <v>6.0100000000000001E-2</v>
      </c>
      <c r="E4" s="1">
        <v>75.099999999999994</v>
      </c>
      <c r="F4" s="1">
        <v>5.15</v>
      </c>
      <c r="G4" s="1">
        <v>19.5</v>
      </c>
      <c r="H4" s="1">
        <v>0</v>
      </c>
      <c r="I4" s="10">
        <v>56.1</v>
      </c>
      <c r="J4" s="1">
        <v>0</v>
      </c>
      <c r="K4" s="8">
        <v>40.1</v>
      </c>
      <c r="M4" s="1">
        <v>48.6</v>
      </c>
    </row>
    <row r="5" spans="1:35" x14ac:dyDescent="0.2">
      <c r="A5" t="s">
        <v>54</v>
      </c>
      <c r="B5" t="s">
        <v>56</v>
      </c>
      <c r="C5">
        <v>5.2069999999999998E-2</v>
      </c>
      <c r="D5">
        <v>7.9149999999999998E-2</v>
      </c>
      <c r="E5" s="1">
        <v>51</v>
      </c>
      <c r="F5" s="1">
        <v>4.5199999999999996</v>
      </c>
      <c r="G5" s="1">
        <v>3.8</v>
      </c>
      <c r="H5" s="1">
        <v>27</v>
      </c>
      <c r="I5" s="10">
        <v>17.5</v>
      </c>
      <c r="J5" s="1">
        <v>1</v>
      </c>
      <c r="K5" s="8">
        <v>22.4</v>
      </c>
      <c r="L5" s="1">
        <v>3</v>
      </c>
      <c r="M5" s="8">
        <v>9.6999999999999993</v>
      </c>
      <c r="O5" s="8">
        <v>15.5</v>
      </c>
      <c r="Q5" s="8">
        <v>11.1</v>
      </c>
      <c r="S5" s="8">
        <v>57.3</v>
      </c>
      <c r="T5" s="1">
        <v>18</v>
      </c>
      <c r="U5" s="8">
        <v>54</v>
      </c>
      <c r="V5" s="1">
        <v>16</v>
      </c>
      <c r="W5" s="8">
        <v>52.6</v>
      </c>
      <c r="X5" s="1">
        <v>27</v>
      </c>
      <c r="AI5" t="s">
        <v>57</v>
      </c>
    </row>
    <row r="6" spans="1:35" x14ac:dyDescent="0.2">
      <c r="A6" t="s">
        <v>54</v>
      </c>
      <c r="B6" t="s">
        <v>44</v>
      </c>
      <c r="C6">
        <v>2.426E-2</v>
      </c>
      <c r="D6">
        <v>5.2909999999999999E-2</v>
      </c>
      <c r="E6" s="1">
        <v>76.2</v>
      </c>
      <c r="F6" s="1">
        <v>3.8580000000000001</v>
      </c>
      <c r="G6" s="1">
        <v>14.2</v>
      </c>
      <c r="H6" s="1">
        <v>19</v>
      </c>
      <c r="I6" s="10">
        <v>79.7</v>
      </c>
      <c r="J6" s="1">
        <v>18</v>
      </c>
      <c r="K6" s="8">
        <v>56</v>
      </c>
      <c r="L6" s="1">
        <v>13</v>
      </c>
      <c r="AI6" t="s">
        <v>67</v>
      </c>
    </row>
    <row r="7" spans="1:35" x14ac:dyDescent="0.2">
      <c r="A7" t="s">
        <v>54</v>
      </c>
      <c r="B7" t="s">
        <v>68</v>
      </c>
      <c r="C7">
        <v>3.8960000000000002E-2</v>
      </c>
      <c r="D7">
        <v>7.0760000000000003E-2</v>
      </c>
      <c r="E7" s="1">
        <v>63.2</v>
      </c>
      <c r="F7" s="1">
        <v>5.6130000000000004</v>
      </c>
      <c r="G7" s="1">
        <v>6.5</v>
      </c>
      <c r="H7" s="1">
        <v>0</v>
      </c>
      <c r="I7" s="10">
        <v>37</v>
      </c>
      <c r="J7" s="1">
        <v>0</v>
      </c>
      <c r="K7" s="8">
        <v>42</v>
      </c>
      <c r="L7" s="1">
        <v>0</v>
      </c>
      <c r="M7" s="8">
        <v>58.1</v>
      </c>
      <c r="N7" s="1">
        <v>0</v>
      </c>
      <c r="O7" s="8">
        <v>57</v>
      </c>
      <c r="P7" s="1">
        <v>0</v>
      </c>
      <c r="Q7" s="8">
        <v>61.3</v>
      </c>
      <c r="R7" s="1">
        <v>0</v>
      </c>
      <c r="S7" s="8">
        <v>5.5</v>
      </c>
      <c r="T7" s="1">
        <v>0</v>
      </c>
    </row>
    <row r="8" spans="1:35" x14ac:dyDescent="0.2">
      <c r="A8" t="s">
        <v>54</v>
      </c>
      <c r="B8" t="s">
        <v>21</v>
      </c>
      <c r="C8">
        <v>3.551E-2</v>
      </c>
      <c r="D8">
        <v>6.1929999999999999E-2</v>
      </c>
      <c r="E8" s="1">
        <v>48.6</v>
      </c>
      <c r="F8" s="1">
        <v>4.548</v>
      </c>
      <c r="G8" s="1">
        <v>3.8</v>
      </c>
      <c r="H8" s="1">
        <v>11</v>
      </c>
      <c r="I8" s="10">
        <v>48.2</v>
      </c>
      <c r="J8" s="1">
        <v>12</v>
      </c>
      <c r="K8" s="8">
        <v>46</v>
      </c>
      <c r="L8" s="1">
        <v>12</v>
      </c>
      <c r="M8" s="8">
        <v>53.2</v>
      </c>
      <c r="N8" s="1">
        <v>6</v>
      </c>
      <c r="O8" s="8">
        <v>50</v>
      </c>
      <c r="P8" s="1">
        <v>9</v>
      </c>
      <c r="Q8" s="8">
        <v>27</v>
      </c>
      <c r="R8" s="1">
        <v>3</v>
      </c>
      <c r="S8" s="8">
        <v>50.8</v>
      </c>
      <c r="T8" s="1">
        <v>11</v>
      </c>
      <c r="U8" s="8">
        <v>35</v>
      </c>
      <c r="V8" s="1">
        <v>2</v>
      </c>
      <c r="W8" s="8">
        <v>51.8</v>
      </c>
      <c r="X8" s="1">
        <v>12</v>
      </c>
      <c r="Y8" s="8">
        <v>38.700000000000003</v>
      </c>
      <c r="Z8" s="1">
        <v>2</v>
      </c>
    </row>
    <row r="9" spans="1:35" x14ac:dyDescent="0.2">
      <c r="A9" t="s">
        <v>54</v>
      </c>
      <c r="B9" t="s">
        <v>31</v>
      </c>
      <c r="C9">
        <v>4.5909999999999999E-2</v>
      </c>
      <c r="D9">
        <v>6.3670000000000004E-2</v>
      </c>
      <c r="E9" s="1">
        <v>70.3</v>
      </c>
      <c r="F9" s="1">
        <v>6.1980000000000004</v>
      </c>
      <c r="G9" s="1">
        <v>17.2</v>
      </c>
      <c r="H9" s="1">
        <v>11</v>
      </c>
      <c r="I9" s="10">
        <v>34.5</v>
      </c>
      <c r="J9" s="1">
        <v>8</v>
      </c>
      <c r="K9" s="8">
        <v>59.1</v>
      </c>
      <c r="L9" s="1">
        <v>10</v>
      </c>
      <c r="M9" s="8">
        <v>55.3</v>
      </c>
      <c r="N9" s="1">
        <v>11</v>
      </c>
    </row>
    <row r="10" spans="1:35" x14ac:dyDescent="0.2">
      <c r="A10" t="s">
        <v>54</v>
      </c>
      <c r="B10" t="s">
        <v>20</v>
      </c>
      <c r="C10">
        <v>4.3279999999999999E-2</v>
      </c>
      <c r="D10">
        <v>1.391E-2</v>
      </c>
      <c r="E10" s="1">
        <v>47.2</v>
      </c>
      <c r="F10" s="1">
        <v>4.5090000000000003</v>
      </c>
      <c r="G10" s="1">
        <v>5</v>
      </c>
      <c r="H10" s="1">
        <v>0</v>
      </c>
      <c r="I10" s="10">
        <v>21.2</v>
      </c>
      <c r="J10" s="1">
        <v>0</v>
      </c>
      <c r="K10" s="8">
        <v>20.8</v>
      </c>
      <c r="L10" s="1">
        <v>0</v>
      </c>
      <c r="M10" s="8">
        <v>53.8</v>
      </c>
      <c r="N10" s="1">
        <v>0</v>
      </c>
      <c r="O10" s="8">
        <v>32</v>
      </c>
      <c r="P10" s="1">
        <v>0</v>
      </c>
      <c r="Q10" s="8">
        <v>31.6</v>
      </c>
      <c r="R10" s="1">
        <v>0</v>
      </c>
      <c r="S10" s="8">
        <v>54.1</v>
      </c>
      <c r="T10" s="1">
        <v>0</v>
      </c>
      <c r="U10" s="8">
        <v>8.6</v>
      </c>
      <c r="V10" s="1">
        <v>0</v>
      </c>
      <c r="W10" s="8">
        <v>7.7</v>
      </c>
      <c r="X10" s="1">
        <v>0</v>
      </c>
      <c r="Y10" s="8">
        <v>7.5</v>
      </c>
      <c r="Z10" s="1">
        <v>0</v>
      </c>
    </row>
    <row r="11" spans="1:35" x14ac:dyDescent="0.2">
      <c r="A11" t="s">
        <v>54</v>
      </c>
      <c r="B11" t="s">
        <v>36</v>
      </c>
      <c r="C11">
        <v>1.065E-2</v>
      </c>
      <c r="D11">
        <v>5.9959999999999999E-2</v>
      </c>
      <c r="E11" s="1">
        <v>56.9</v>
      </c>
      <c r="F11" s="1">
        <v>3.9159999999999999</v>
      </c>
      <c r="G11" s="1">
        <v>14.2</v>
      </c>
      <c r="H11" s="1">
        <v>18</v>
      </c>
      <c r="I11" s="10">
        <v>35.299999999999997</v>
      </c>
      <c r="J11" s="1">
        <v>3</v>
      </c>
      <c r="K11" s="8">
        <v>41.1</v>
      </c>
      <c r="L11" s="1">
        <v>4</v>
      </c>
      <c r="M11" s="8">
        <v>48</v>
      </c>
      <c r="N11" s="1">
        <v>16</v>
      </c>
      <c r="O11" s="8">
        <v>54.5</v>
      </c>
      <c r="P11" s="1">
        <v>5</v>
      </c>
      <c r="Q11" s="8">
        <v>63.1</v>
      </c>
      <c r="R11" s="1">
        <v>6</v>
      </c>
      <c r="S11" s="8">
        <v>46.1</v>
      </c>
      <c r="T11" s="1">
        <v>10</v>
      </c>
      <c r="U11" s="8">
        <v>56.8</v>
      </c>
      <c r="V11" s="1">
        <v>6</v>
      </c>
      <c r="AI11" t="s">
        <v>69</v>
      </c>
    </row>
    <row r="12" spans="1:35" x14ac:dyDescent="0.2">
      <c r="A12" t="s">
        <v>54</v>
      </c>
      <c r="B12" t="s">
        <v>70</v>
      </c>
      <c r="C12">
        <v>2.7060000000000001E-2</v>
      </c>
      <c r="D12">
        <v>3.6949999999999997E-2</v>
      </c>
      <c r="E12" s="1">
        <v>62.3</v>
      </c>
      <c r="F12" s="1">
        <v>5.2320000000000002</v>
      </c>
      <c r="G12" s="1">
        <v>8.4</v>
      </c>
      <c r="H12" s="1">
        <v>0</v>
      </c>
      <c r="I12" s="10">
        <v>56.2</v>
      </c>
      <c r="J12" s="1">
        <v>0</v>
      </c>
    </row>
    <row r="13" spans="1:35" x14ac:dyDescent="0.2">
      <c r="A13" t="s">
        <v>54</v>
      </c>
      <c r="B13" t="s">
        <v>71</v>
      </c>
      <c r="C13">
        <v>3.0380000000000001E-2</v>
      </c>
      <c r="D13">
        <v>6.6460000000000005E-2</v>
      </c>
      <c r="E13" s="1">
        <v>50.3</v>
      </c>
      <c r="F13" s="1">
        <v>6.6989999999999998</v>
      </c>
      <c r="G13" s="1">
        <v>5.3</v>
      </c>
      <c r="H13" s="1">
        <v>9</v>
      </c>
      <c r="I13" s="10">
        <v>33</v>
      </c>
      <c r="J13" s="1">
        <v>4</v>
      </c>
      <c r="K13" s="8">
        <v>59.1</v>
      </c>
      <c r="L13" s="1">
        <v>15</v>
      </c>
      <c r="M13" s="8">
        <v>34.6</v>
      </c>
      <c r="N13" s="1">
        <v>5</v>
      </c>
      <c r="O13" s="8">
        <v>56.9</v>
      </c>
      <c r="P13" s="1">
        <v>19</v>
      </c>
      <c r="Q13" s="8">
        <v>47</v>
      </c>
      <c r="R13" s="1">
        <v>7</v>
      </c>
      <c r="S13" s="8">
        <v>55.4</v>
      </c>
      <c r="T13" s="1">
        <v>6</v>
      </c>
      <c r="U13" s="8">
        <v>54.2</v>
      </c>
      <c r="V13" s="1">
        <v>14</v>
      </c>
      <c r="W13" s="8">
        <v>54.8</v>
      </c>
      <c r="X13" s="1">
        <v>8</v>
      </c>
      <c r="Y13" s="8">
        <v>25</v>
      </c>
      <c r="Z13" s="1">
        <v>12</v>
      </c>
      <c r="AA13" s="8">
        <v>48.6</v>
      </c>
      <c r="AB13" s="1">
        <v>7</v>
      </c>
      <c r="AC13" s="8">
        <v>46</v>
      </c>
      <c r="AD13" s="1">
        <v>5</v>
      </c>
      <c r="AE13" s="3">
        <v>44.3</v>
      </c>
      <c r="AF13">
        <v>7</v>
      </c>
      <c r="AI13" t="s">
        <v>72</v>
      </c>
    </row>
  </sheetData>
  <phoneticPr fontId="1" type="noConversion"/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E6BA99-DC15-8C4E-9FF8-5B159199F983}">
  <dimension ref="A1:AI13"/>
  <sheetViews>
    <sheetView zoomScale="150" zoomScaleNormal="150" workbookViewId="0">
      <selection sqref="A1:XFD1048576"/>
    </sheetView>
    <sheetView workbookViewId="1"/>
    <sheetView workbookViewId="2"/>
    <sheetView workbookViewId="3"/>
  </sheetViews>
  <sheetFormatPr baseColWidth="10" defaultRowHeight="16" x14ac:dyDescent="0.2"/>
  <cols>
    <col min="1" max="1" width="3.83203125" style="1" bestFit="1" customWidth="1"/>
    <col min="2" max="2" width="7.83203125" style="1" bestFit="1" customWidth="1"/>
    <col min="3" max="3" width="12.5" style="1" bestFit="1" customWidth="1"/>
    <col min="4" max="4" width="11.83203125" style="1" bestFit="1" customWidth="1"/>
    <col min="5" max="5" width="11.33203125" style="1" bestFit="1" customWidth="1"/>
    <col min="6" max="6" width="13.6640625" style="1" bestFit="1" customWidth="1"/>
    <col min="7" max="7" width="13.1640625" style="1" bestFit="1" customWidth="1"/>
    <col min="8" max="8" width="11.6640625" style="1" bestFit="1" customWidth="1"/>
    <col min="9" max="9" width="4.1640625" style="13" bestFit="1" customWidth="1"/>
    <col min="10" max="10" width="5.1640625" style="1" bestFit="1" customWidth="1"/>
    <col min="11" max="11" width="4.1640625" style="1" bestFit="1" customWidth="1"/>
    <col min="12" max="12" width="5.1640625" style="1" bestFit="1" customWidth="1"/>
    <col min="13" max="13" width="4.1640625" style="1" bestFit="1" customWidth="1"/>
    <col min="14" max="14" width="5.1640625" bestFit="1" customWidth="1"/>
    <col min="15" max="16" width="5.1640625" style="1" bestFit="1" customWidth="1"/>
    <col min="17" max="17" width="4" style="1" bestFit="1" customWidth="1"/>
    <col min="18" max="21" width="5.1640625" style="1" bestFit="1" customWidth="1"/>
    <col min="22" max="22" width="5.1640625" bestFit="1" customWidth="1"/>
    <col min="23" max="23" width="4" style="1" bestFit="1" customWidth="1"/>
    <col min="24" max="24" width="5.1640625" style="1" bestFit="1" customWidth="1"/>
    <col min="25" max="25" width="4" style="1" bestFit="1" customWidth="1"/>
    <col min="26" max="26" width="5.1640625" style="1" bestFit="1" customWidth="1"/>
    <col min="27" max="27" width="5" style="1" bestFit="1" customWidth="1"/>
    <col min="28" max="28" width="6.1640625" style="1" bestFit="1" customWidth="1"/>
    <col min="29" max="29" width="5" style="1" bestFit="1" customWidth="1"/>
  </cols>
  <sheetData>
    <row r="1" spans="1:35" s="4" customFormat="1" x14ac:dyDescent="0.2">
      <c r="A1" s="5" t="s">
        <v>3</v>
      </c>
      <c r="B1" s="5" t="s">
        <v>1</v>
      </c>
      <c r="C1" s="5" t="s">
        <v>60</v>
      </c>
      <c r="D1" s="5" t="s">
        <v>59</v>
      </c>
      <c r="E1" s="5" t="s">
        <v>6</v>
      </c>
      <c r="F1" s="5" t="s">
        <v>7</v>
      </c>
      <c r="G1" s="5" t="s">
        <v>17</v>
      </c>
      <c r="H1" s="5" t="s">
        <v>22</v>
      </c>
      <c r="I1" s="9" t="s">
        <v>9</v>
      </c>
      <c r="J1" s="5" t="s">
        <v>23</v>
      </c>
      <c r="K1" s="7" t="str">
        <f>"s_"&amp;RIGHT(I1,1)+1</f>
        <v>s_2</v>
      </c>
      <c r="L1" s="5" t="str">
        <f>"inf_"&amp;RIGHT(J1,1)+1</f>
        <v>inf_2</v>
      </c>
      <c r="M1" s="7" t="str">
        <f t="shared" ref="M1" si="0">"s_"&amp;RIGHT(K1,1)+1</f>
        <v>s_3</v>
      </c>
      <c r="N1" s="5" t="str">
        <f t="shared" ref="N1" si="1">"inf_"&amp;RIGHT(L1,1)+1</f>
        <v>inf_3</v>
      </c>
      <c r="O1" s="7" t="str">
        <f t="shared" ref="O1" si="2">"s_"&amp;RIGHT(M1,1)+1</f>
        <v>s_4</v>
      </c>
      <c r="P1" s="5" t="str">
        <f t="shared" ref="P1" si="3">"inf_"&amp;RIGHT(N1,1)+1</f>
        <v>inf_4</v>
      </c>
      <c r="Q1" s="7" t="str">
        <f t="shared" ref="Q1" si="4">"s_"&amp;RIGHT(O1,1)+1</f>
        <v>s_5</v>
      </c>
      <c r="R1" s="5" t="str">
        <f t="shared" ref="R1" si="5">"inf_"&amp;RIGHT(P1,1)+1</f>
        <v>inf_5</v>
      </c>
      <c r="S1" s="7" t="str">
        <f t="shared" ref="S1" si="6">"s_"&amp;RIGHT(Q1,1)+1</f>
        <v>s_6</v>
      </c>
      <c r="T1" s="5" t="str">
        <f t="shared" ref="T1" si="7">"inf_"&amp;RIGHT(R1,1)+1</f>
        <v>inf_6</v>
      </c>
      <c r="U1" s="7" t="str">
        <f t="shared" ref="U1" si="8">"s_"&amp;RIGHT(S1,1)+1</f>
        <v>s_7</v>
      </c>
      <c r="V1" s="5" t="str">
        <f t="shared" ref="V1" si="9">"inf_"&amp;RIGHT(T1,1)+1</f>
        <v>inf_7</v>
      </c>
      <c r="W1" s="7" t="str">
        <f t="shared" ref="W1" si="10">"s_"&amp;RIGHT(U1,1)+1</f>
        <v>s_8</v>
      </c>
      <c r="X1" s="5" t="str">
        <f t="shared" ref="X1" si="11">"inf_"&amp;RIGHT(V1,1)+1</f>
        <v>inf_8</v>
      </c>
      <c r="Y1" s="7" t="str">
        <f t="shared" ref="Y1" si="12">"s_"&amp;RIGHT(W1,1)+1</f>
        <v>s_9</v>
      </c>
      <c r="Z1" s="5" t="str">
        <f t="shared" ref="Z1" si="13">"inf_"&amp;RIGHT(X1,1)+1</f>
        <v>inf_9</v>
      </c>
      <c r="AA1" s="7" t="str">
        <f t="shared" ref="AA1" si="14">"s_"&amp;RIGHT(Y1,1)+1</f>
        <v>s_10</v>
      </c>
      <c r="AB1" s="5" t="str">
        <f t="shared" ref="AB1" si="15">"inf_"&amp;RIGHT(Z1,1)+1</f>
        <v>inf_10</v>
      </c>
      <c r="AC1" s="7" t="s">
        <v>41</v>
      </c>
      <c r="AD1" s="5" t="s">
        <v>42</v>
      </c>
      <c r="AE1" s="6" t="s">
        <v>45</v>
      </c>
      <c r="AF1" s="4" t="s">
        <v>47</v>
      </c>
      <c r="AG1" s="4" t="s">
        <v>46</v>
      </c>
      <c r="AH1" s="4" t="s">
        <v>48</v>
      </c>
      <c r="AI1" s="4" t="s">
        <v>32</v>
      </c>
    </row>
    <row r="2" spans="1:35" x14ac:dyDescent="0.2">
      <c r="A2" s="1" t="s">
        <v>63</v>
      </c>
      <c r="B2" s="1" t="s">
        <v>55</v>
      </c>
      <c r="C2" s="1">
        <v>3.8000000000000002E-4</v>
      </c>
      <c r="D2" s="1">
        <v>1.17E-3</v>
      </c>
      <c r="E2" s="1">
        <v>9.1999999999999993</v>
      </c>
      <c r="F2" s="1">
        <v>1.151</v>
      </c>
      <c r="G2" s="1">
        <v>7.5</v>
      </c>
      <c r="H2" s="1">
        <v>13</v>
      </c>
      <c r="I2" s="13">
        <v>9.1999999999999993</v>
      </c>
      <c r="J2" s="1">
        <v>12</v>
      </c>
      <c r="K2" s="1">
        <v>7.8</v>
      </c>
      <c r="M2" s="1">
        <v>2.6</v>
      </c>
    </row>
    <row r="3" spans="1:35" x14ac:dyDescent="0.2">
      <c r="A3" s="1" t="s">
        <v>63</v>
      </c>
      <c r="B3" s="1" t="s">
        <v>77</v>
      </c>
      <c r="C3" s="1">
        <v>1.9699999999999999E-2</v>
      </c>
      <c r="D3" s="1">
        <v>0.12609999999999999</v>
      </c>
      <c r="E3" s="1">
        <v>47.1</v>
      </c>
      <c r="F3" s="1">
        <v>3.73</v>
      </c>
      <c r="G3" s="1">
        <v>5.2</v>
      </c>
      <c r="H3" s="1">
        <v>8</v>
      </c>
      <c r="I3" s="13">
        <v>65.599999999999994</v>
      </c>
      <c r="J3" s="1">
        <v>8</v>
      </c>
      <c r="K3" s="1">
        <v>40.700000000000003</v>
      </c>
      <c r="L3" s="1">
        <v>5</v>
      </c>
      <c r="M3" s="1">
        <v>37.4</v>
      </c>
      <c r="N3" s="1">
        <v>0</v>
      </c>
      <c r="O3" s="1">
        <v>55.9</v>
      </c>
      <c r="P3" s="1">
        <v>3</v>
      </c>
      <c r="Q3" s="1">
        <v>44</v>
      </c>
      <c r="R3" s="1">
        <v>9</v>
      </c>
      <c r="S3" s="1">
        <v>49.8</v>
      </c>
      <c r="T3" s="1">
        <v>7</v>
      </c>
      <c r="U3" s="1">
        <v>55.4</v>
      </c>
      <c r="V3" s="1">
        <v>12</v>
      </c>
      <c r="W3" s="1" t="s">
        <v>78</v>
      </c>
      <c r="Y3" s="1" t="s">
        <v>78</v>
      </c>
      <c r="AA3" s="1" t="s">
        <v>78</v>
      </c>
      <c r="AC3" s="1" t="s">
        <v>78</v>
      </c>
    </row>
    <row r="4" spans="1:35" x14ac:dyDescent="0.2">
      <c r="A4" s="1" t="s">
        <v>63</v>
      </c>
      <c r="B4" s="1" t="s">
        <v>79</v>
      </c>
      <c r="C4" s="1">
        <v>4.8239999999999998E-2</v>
      </c>
      <c r="D4" s="1">
        <v>7.4310000000000001E-2</v>
      </c>
      <c r="E4" s="1">
        <v>59.5</v>
      </c>
      <c r="F4" s="1">
        <v>4.524</v>
      </c>
      <c r="G4" s="1">
        <v>6.4</v>
      </c>
      <c r="H4" s="1">
        <v>0</v>
      </c>
      <c r="I4" s="13">
        <v>31.5</v>
      </c>
      <c r="J4" s="1">
        <v>0</v>
      </c>
      <c r="K4" s="1">
        <v>75.599999999999994</v>
      </c>
      <c r="L4" s="1">
        <v>0</v>
      </c>
    </row>
    <row r="5" spans="1:35" x14ac:dyDescent="0.2">
      <c r="A5" s="1" t="s">
        <v>63</v>
      </c>
      <c r="B5" s="1" t="s">
        <v>36</v>
      </c>
      <c r="C5" s="1">
        <v>4.2729999999999997E-2</v>
      </c>
      <c r="D5" s="1">
        <v>1.4999999999999999E-4</v>
      </c>
      <c r="E5" s="1">
        <v>41.1</v>
      </c>
      <c r="F5" s="1">
        <v>5.2549999999999999</v>
      </c>
      <c r="G5" s="1">
        <v>9.1999999999999993</v>
      </c>
      <c r="H5" s="1">
        <v>31</v>
      </c>
      <c r="I5" s="13">
        <v>6.5</v>
      </c>
      <c r="J5" s="1">
        <v>0</v>
      </c>
    </row>
    <row r="6" spans="1:35" x14ac:dyDescent="0.2">
      <c r="A6" s="1" t="s">
        <v>63</v>
      </c>
      <c r="B6" s="1" t="s">
        <v>43</v>
      </c>
      <c r="C6" s="1">
        <v>5.4899999999999997E-2</v>
      </c>
      <c r="D6" s="1">
        <v>4.4650000000000002E-2</v>
      </c>
      <c r="E6" s="1">
        <v>31.2</v>
      </c>
      <c r="F6" s="1">
        <v>5.54</v>
      </c>
      <c r="G6" s="1">
        <v>9.5</v>
      </c>
      <c r="H6" s="1">
        <v>7</v>
      </c>
      <c r="I6" s="13">
        <v>50.4</v>
      </c>
      <c r="J6" s="1">
        <v>11</v>
      </c>
      <c r="K6" s="1">
        <v>25.8</v>
      </c>
      <c r="L6" s="1">
        <v>5</v>
      </c>
    </row>
    <row r="7" spans="1:35" x14ac:dyDescent="0.2">
      <c r="A7" s="1" t="s">
        <v>63</v>
      </c>
      <c r="B7" s="1" t="s">
        <v>80</v>
      </c>
      <c r="C7" s="1">
        <v>0.10037</v>
      </c>
      <c r="D7" s="1">
        <v>4.45E-3</v>
      </c>
      <c r="E7" s="1">
        <v>62.3</v>
      </c>
      <c r="F7" s="1">
        <v>5.1390000000000002</v>
      </c>
      <c r="G7" s="1">
        <v>9.5</v>
      </c>
      <c r="H7" s="1">
        <v>29</v>
      </c>
      <c r="I7" s="13">
        <v>49.1</v>
      </c>
      <c r="J7" s="1">
        <v>13</v>
      </c>
      <c r="K7" s="1">
        <v>32.9</v>
      </c>
      <c r="L7" s="1">
        <v>2</v>
      </c>
      <c r="M7" s="1">
        <v>24.1</v>
      </c>
      <c r="N7" s="1">
        <v>0</v>
      </c>
    </row>
    <row r="8" spans="1:35" x14ac:dyDescent="0.2">
      <c r="A8" s="1" t="s">
        <v>63</v>
      </c>
      <c r="B8" s="1" t="s">
        <v>56</v>
      </c>
      <c r="C8" s="1">
        <v>4.2819999999999997E-2</v>
      </c>
      <c r="D8" s="1">
        <v>7.9600000000000004E-2</v>
      </c>
      <c r="E8" s="1">
        <v>44.2</v>
      </c>
      <c r="F8" s="1">
        <v>7.2889999999999997</v>
      </c>
      <c r="G8" s="1">
        <v>6.5</v>
      </c>
      <c r="H8" s="1">
        <v>4</v>
      </c>
      <c r="I8" s="13">
        <v>48.7</v>
      </c>
      <c r="J8" s="1">
        <v>9</v>
      </c>
      <c r="K8" s="1">
        <v>61.4</v>
      </c>
      <c r="L8" s="1">
        <v>17</v>
      </c>
      <c r="M8" s="1">
        <v>58.9</v>
      </c>
      <c r="N8" s="1">
        <v>9</v>
      </c>
      <c r="O8" s="1">
        <v>58.9</v>
      </c>
      <c r="P8" s="1">
        <v>0</v>
      </c>
      <c r="Q8" s="1">
        <v>53.5</v>
      </c>
      <c r="R8" s="1">
        <v>7</v>
      </c>
      <c r="S8" s="1">
        <v>59.6</v>
      </c>
      <c r="T8" s="1">
        <v>0</v>
      </c>
    </row>
    <row r="9" spans="1:35" x14ac:dyDescent="0.2">
      <c r="A9" s="1" t="s">
        <v>63</v>
      </c>
      <c r="B9" s="1" t="s">
        <v>71</v>
      </c>
      <c r="C9" s="1">
        <v>9.7100000000000006E-2</v>
      </c>
      <c r="D9" s="1">
        <v>2.82E-3</v>
      </c>
      <c r="E9" s="1">
        <v>54.6</v>
      </c>
      <c r="F9" s="1">
        <v>6.218</v>
      </c>
      <c r="G9" s="1">
        <v>5.0999999999999996</v>
      </c>
      <c r="H9" s="1">
        <v>13</v>
      </c>
      <c r="I9" s="13">
        <v>50.2</v>
      </c>
      <c r="J9" s="1">
        <v>15</v>
      </c>
      <c r="K9" s="1">
        <v>6.5</v>
      </c>
      <c r="L9" s="1">
        <v>0</v>
      </c>
      <c r="AI9" t="s">
        <v>81</v>
      </c>
    </row>
    <row r="10" spans="1:35" x14ac:dyDescent="0.2">
      <c r="A10" s="1" t="s">
        <v>63</v>
      </c>
      <c r="B10" s="1" t="s">
        <v>37</v>
      </c>
      <c r="C10" s="1">
        <v>6.1080000000000002E-2</v>
      </c>
      <c r="D10" s="1">
        <v>7.3050000000000004E-2</v>
      </c>
      <c r="E10" s="1">
        <v>41.3</v>
      </c>
      <c r="F10" s="1">
        <v>6.7919999999999998</v>
      </c>
      <c r="G10" s="1">
        <v>4.4000000000000004</v>
      </c>
      <c r="H10" s="1">
        <v>10</v>
      </c>
      <c r="I10" s="13">
        <v>57.3</v>
      </c>
      <c r="J10" s="1">
        <v>9</v>
      </c>
      <c r="K10" s="1">
        <v>57.3</v>
      </c>
      <c r="L10" s="1">
        <v>12</v>
      </c>
      <c r="M10" s="1">
        <v>53.8</v>
      </c>
      <c r="N10" s="1">
        <v>13</v>
      </c>
      <c r="O10" s="1">
        <v>49.5</v>
      </c>
      <c r="P10" s="1">
        <v>5</v>
      </c>
      <c r="Q10" s="1">
        <v>58</v>
      </c>
      <c r="R10" s="1">
        <v>12</v>
      </c>
    </row>
    <row r="11" spans="1:35" x14ac:dyDescent="0.2">
      <c r="A11" s="1" t="s">
        <v>63</v>
      </c>
      <c r="B11" s="1" t="s">
        <v>82</v>
      </c>
      <c r="C11" s="1">
        <v>3.1859999999999999E-2</v>
      </c>
      <c r="D11" s="1">
        <v>3.2340000000000001E-2</v>
      </c>
      <c r="E11" s="1">
        <v>51.1</v>
      </c>
      <c r="F11" s="1">
        <v>4.5670000000000002</v>
      </c>
      <c r="G11" s="1">
        <v>9</v>
      </c>
      <c r="H11" s="1">
        <v>0</v>
      </c>
      <c r="I11" s="13">
        <v>25.9</v>
      </c>
      <c r="K11" s="1">
        <v>51.4</v>
      </c>
      <c r="M11" s="1">
        <v>45.5</v>
      </c>
      <c r="O11" s="1">
        <v>14.3</v>
      </c>
      <c r="Q11" s="1">
        <v>10.6</v>
      </c>
    </row>
    <row r="12" spans="1:35" x14ac:dyDescent="0.2">
      <c r="A12" s="1" t="s">
        <v>63</v>
      </c>
      <c r="B12" s="1" t="s">
        <v>83</v>
      </c>
      <c r="C12" s="1">
        <v>6.4130000000000006E-2</v>
      </c>
      <c r="D12" s="1">
        <v>9.2520000000000005E-2</v>
      </c>
      <c r="E12" s="1">
        <v>47.2</v>
      </c>
      <c r="F12" s="1">
        <v>4.0330000000000004</v>
      </c>
      <c r="G12" s="1">
        <v>4.5</v>
      </c>
      <c r="I12" s="13">
        <v>46.5</v>
      </c>
      <c r="K12" s="1">
        <v>51.3</v>
      </c>
      <c r="M12" s="1">
        <v>50.6</v>
      </c>
    </row>
    <row r="13" spans="1:35" x14ac:dyDescent="0.2">
      <c r="A13" s="1" t="s">
        <v>63</v>
      </c>
      <c r="B13" s="1" t="s">
        <v>84</v>
      </c>
      <c r="C13" s="1">
        <v>7.5770000000000004E-2</v>
      </c>
      <c r="D13" s="1">
        <v>0.10279000000000001</v>
      </c>
      <c r="E13" s="1">
        <v>57.9</v>
      </c>
      <c r="F13" s="1">
        <v>5.5330000000000004</v>
      </c>
      <c r="G13" s="1">
        <v>3.3</v>
      </c>
      <c r="H13" s="1">
        <v>0</v>
      </c>
      <c r="I13" s="13">
        <v>59.4</v>
      </c>
      <c r="K13" s="1">
        <v>48.5</v>
      </c>
      <c r="M13" s="1">
        <v>51.6</v>
      </c>
      <c r="O13" s="1">
        <v>49</v>
      </c>
      <c r="Q13" s="1">
        <v>55.8</v>
      </c>
    </row>
  </sheetData>
  <pageMargins left="0.7" right="0.7" top="0.75" bottom="0.75" header="0.3" footer="0.3"/>
  <pageSetup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BAAE0F-250B-D847-976E-C8A9B4541CE4}">
  <dimension ref="A1:AI13"/>
  <sheetViews>
    <sheetView zoomScale="160" zoomScaleNormal="160" workbookViewId="0">
      <pane ySplit="1" topLeftCell="A2" activePane="bottomLeft" state="frozen"/>
      <selection pane="bottomLeft" sqref="A1:XFD1"/>
    </sheetView>
    <sheetView workbookViewId="1"/>
    <sheetView workbookViewId="2"/>
    <sheetView workbookViewId="3"/>
  </sheetViews>
  <sheetFormatPr baseColWidth="10" defaultRowHeight="16" x14ac:dyDescent="0.2"/>
  <cols>
    <col min="1" max="1" width="3.83203125" style="1" bestFit="1" customWidth="1"/>
    <col min="2" max="2" width="7.83203125" style="1" bestFit="1" customWidth="1"/>
    <col min="3" max="3" width="12.5" style="1" bestFit="1" customWidth="1"/>
    <col min="4" max="4" width="11.83203125" style="1" bestFit="1" customWidth="1"/>
    <col min="5" max="5" width="11.33203125" style="1" bestFit="1" customWidth="1"/>
    <col min="6" max="6" width="13.6640625" style="1" bestFit="1" customWidth="1"/>
    <col min="7" max="7" width="13.1640625" style="1" bestFit="1" customWidth="1"/>
    <col min="8" max="8" width="11.6640625" style="1" bestFit="1" customWidth="1"/>
    <col min="9" max="9" width="4.1640625" style="13" bestFit="1" customWidth="1"/>
    <col min="10" max="10" width="5.1640625" style="1" bestFit="1" customWidth="1"/>
    <col min="11" max="11" width="4.1640625" style="1" bestFit="1" customWidth="1"/>
    <col min="12" max="12" width="5.1640625" style="1" bestFit="1" customWidth="1"/>
    <col min="13" max="13" width="4.1640625" style="1" bestFit="1" customWidth="1"/>
    <col min="14" max="16" width="5.1640625" style="1" bestFit="1" customWidth="1"/>
    <col min="17" max="17" width="4" style="1" bestFit="1" customWidth="1"/>
    <col min="18" max="21" width="5.1640625" style="1" bestFit="1" customWidth="1"/>
    <col min="22" max="22" width="5.1640625" bestFit="1" customWidth="1"/>
    <col min="23" max="23" width="4" style="1" bestFit="1" customWidth="1"/>
    <col min="24" max="24" width="5.1640625" style="1" bestFit="1" customWidth="1"/>
    <col min="25" max="25" width="4" style="1" bestFit="1" customWidth="1"/>
    <col min="26" max="26" width="5.1640625" style="1" bestFit="1" customWidth="1"/>
    <col min="27" max="27" width="5" style="1" bestFit="1" customWidth="1"/>
    <col min="28" max="28" width="6.1640625" style="1" bestFit="1" customWidth="1"/>
    <col min="29" max="29" width="5" style="1" bestFit="1" customWidth="1"/>
  </cols>
  <sheetData>
    <row r="1" spans="1:35" s="4" customFormat="1" x14ac:dyDescent="0.2">
      <c r="A1" s="5" t="s">
        <v>3</v>
      </c>
      <c r="B1" s="5" t="s">
        <v>1</v>
      </c>
      <c r="C1" s="5" t="s">
        <v>60</v>
      </c>
      <c r="D1" s="5" t="s">
        <v>59</v>
      </c>
      <c r="E1" s="5" t="s">
        <v>6</v>
      </c>
      <c r="F1" s="5" t="s">
        <v>7</v>
      </c>
      <c r="G1" s="5" t="s">
        <v>17</v>
      </c>
      <c r="H1" s="5" t="s">
        <v>22</v>
      </c>
      <c r="I1" s="9" t="s">
        <v>9</v>
      </c>
      <c r="J1" s="5" t="s">
        <v>23</v>
      </c>
      <c r="K1" s="7" t="str">
        <f>"s_"&amp;RIGHT(I1,1)+1</f>
        <v>s_2</v>
      </c>
      <c r="L1" s="5" t="str">
        <f>"inf_"&amp;RIGHT(J1,1)+1</f>
        <v>inf_2</v>
      </c>
      <c r="M1" s="7" t="str">
        <f t="shared" ref="M1" si="0">"s_"&amp;RIGHT(K1,1)+1</f>
        <v>s_3</v>
      </c>
      <c r="N1" s="5" t="str">
        <f t="shared" ref="N1" si="1">"inf_"&amp;RIGHT(L1,1)+1</f>
        <v>inf_3</v>
      </c>
      <c r="O1" s="7" t="str">
        <f t="shared" ref="O1" si="2">"s_"&amp;RIGHT(M1,1)+1</f>
        <v>s_4</v>
      </c>
      <c r="P1" s="5" t="str">
        <f t="shared" ref="P1" si="3">"inf_"&amp;RIGHT(N1,1)+1</f>
        <v>inf_4</v>
      </c>
      <c r="Q1" s="7" t="str">
        <f t="shared" ref="Q1" si="4">"s_"&amp;RIGHT(O1,1)+1</f>
        <v>s_5</v>
      </c>
      <c r="R1" s="5" t="str">
        <f t="shared" ref="R1" si="5">"inf_"&amp;RIGHT(P1,1)+1</f>
        <v>inf_5</v>
      </c>
      <c r="S1" s="7" t="str">
        <f t="shared" ref="S1" si="6">"s_"&amp;RIGHT(Q1,1)+1</f>
        <v>s_6</v>
      </c>
      <c r="T1" s="5" t="str">
        <f t="shared" ref="T1" si="7">"inf_"&amp;RIGHT(R1,1)+1</f>
        <v>inf_6</v>
      </c>
      <c r="U1" s="7" t="str">
        <f t="shared" ref="U1" si="8">"s_"&amp;RIGHT(S1,1)+1</f>
        <v>s_7</v>
      </c>
      <c r="V1" s="5" t="str">
        <f t="shared" ref="V1" si="9">"inf_"&amp;RIGHT(T1,1)+1</f>
        <v>inf_7</v>
      </c>
      <c r="W1" s="7" t="str">
        <f t="shared" ref="W1" si="10">"s_"&amp;RIGHT(U1,1)+1</f>
        <v>s_8</v>
      </c>
      <c r="X1" s="5" t="str">
        <f t="shared" ref="X1" si="11">"inf_"&amp;RIGHT(V1,1)+1</f>
        <v>inf_8</v>
      </c>
      <c r="Y1" s="7" t="str">
        <f t="shared" ref="Y1" si="12">"s_"&amp;RIGHT(W1,1)+1</f>
        <v>s_9</v>
      </c>
      <c r="Z1" s="5" t="str">
        <f t="shared" ref="Z1" si="13">"inf_"&amp;RIGHT(X1,1)+1</f>
        <v>inf_9</v>
      </c>
      <c r="AA1" s="7" t="str">
        <f t="shared" ref="AA1" si="14">"s_"&amp;RIGHT(Y1,1)+1</f>
        <v>s_10</v>
      </c>
      <c r="AB1" s="5" t="str">
        <f t="shared" ref="AB1" si="15">"inf_"&amp;RIGHT(Z1,1)+1</f>
        <v>inf_10</v>
      </c>
      <c r="AC1" s="7" t="s">
        <v>41</v>
      </c>
      <c r="AD1" s="5" t="s">
        <v>42</v>
      </c>
      <c r="AE1" s="6" t="s">
        <v>45</v>
      </c>
      <c r="AF1" s="4" t="s">
        <v>47</v>
      </c>
      <c r="AG1" s="4" t="s">
        <v>46</v>
      </c>
      <c r="AH1" s="4" t="s">
        <v>48</v>
      </c>
      <c r="AI1" s="4" t="s">
        <v>32</v>
      </c>
    </row>
    <row r="2" spans="1:35" x14ac:dyDescent="0.2">
      <c r="A2" s="1" t="s">
        <v>66</v>
      </c>
      <c r="B2" s="1" t="s">
        <v>77</v>
      </c>
      <c r="C2" s="1">
        <v>5.7959999999999998E-2</v>
      </c>
      <c r="D2" s="1">
        <v>3.6600000000000001E-3</v>
      </c>
      <c r="E2" s="1">
        <v>46.1</v>
      </c>
      <c r="F2" s="1">
        <v>7.4720000000000004</v>
      </c>
      <c r="G2" s="1">
        <v>9.5</v>
      </c>
      <c r="H2" s="1">
        <v>22</v>
      </c>
      <c r="I2" s="13">
        <v>15.5</v>
      </c>
      <c r="J2" s="1">
        <v>4</v>
      </c>
      <c r="K2" s="1">
        <v>15.2</v>
      </c>
      <c r="L2" s="1">
        <v>0</v>
      </c>
      <c r="M2" s="1">
        <v>7.3</v>
      </c>
      <c r="N2" s="1">
        <v>0</v>
      </c>
      <c r="O2" s="1">
        <v>16.7</v>
      </c>
      <c r="P2" s="1">
        <v>0</v>
      </c>
    </row>
    <row r="3" spans="1:35" x14ac:dyDescent="0.2">
      <c r="A3" s="1" t="s">
        <v>66</v>
      </c>
      <c r="B3" s="1" t="s">
        <v>84</v>
      </c>
      <c r="C3" s="1">
        <v>4.3790000000000003E-2</v>
      </c>
      <c r="D3" s="1">
        <v>0.10417</v>
      </c>
      <c r="E3" s="1">
        <v>62.1</v>
      </c>
      <c r="F3" s="1">
        <v>5.9480000000000004</v>
      </c>
      <c r="G3" s="1">
        <v>8.4</v>
      </c>
      <c r="I3" s="13">
        <v>58.7</v>
      </c>
      <c r="K3" s="1">
        <v>46.2</v>
      </c>
      <c r="M3" s="1">
        <v>56.3</v>
      </c>
      <c r="O3" s="1">
        <v>52.8</v>
      </c>
      <c r="Q3" s="1">
        <v>41.5</v>
      </c>
      <c r="S3" s="1">
        <v>42.5</v>
      </c>
      <c r="U3" s="1">
        <v>18.600000000000001</v>
      </c>
      <c r="V3" s="1"/>
      <c r="W3" s="1">
        <v>61.7</v>
      </c>
      <c r="Y3" s="1">
        <v>56.7</v>
      </c>
    </row>
    <row r="4" spans="1:35" x14ac:dyDescent="0.2">
      <c r="A4" s="1" t="s">
        <v>66</v>
      </c>
      <c r="B4" s="1" t="s">
        <v>83</v>
      </c>
      <c r="C4" s="1">
        <v>5.6410000000000002E-2</v>
      </c>
      <c r="D4" s="1">
        <v>8.9679999999999996E-2</v>
      </c>
      <c r="E4" s="1">
        <v>64.5</v>
      </c>
      <c r="F4" s="1">
        <v>4.7629999999999999</v>
      </c>
      <c r="G4" s="1">
        <v>12.4</v>
      </c>
      <c r="I4" s="13">
        <v>34.299999999999997</v>
      </c>
      <c r="K4" s="1">
        <v>57.5</v>
      </c>
      <c r="M4" s="1">
        <v>58.2</v>
      </c>
      <c r="O4" s="1">
        <v>28.7</v>
      </c>
      <c r="Q4" s="1">
        <v>37.4</v>
      </c>
      <c r="S4" s="1">
        <v>27.1</v>
      </c>
      <c r="U4" s="1">
        <v>65.8</v>
      </c>
      <c r="W4" s="1">
        <v>62.5</v>
      </c>
      <c r="Y4" s="1">
        <v>62.3</v>
      </c>
    </row>
    <row r="5" spans="1:35" x14ac:dyDescent="0.2">
      <c r="A5" s="1" t="s">
        <v>66</v>
      </c>
      <c r="B5" s="1" t="s">
        <v>36</v>
      </c>
      <c r="C5" s="1">
        <v>2.7519999999999999E-2</v>
      </c>
      <c r="D5" s="1">
        <v>5.7979999999999997E-2</v>
      </c>
      <c r="E5" s="1">
        <v>71.2</v>
      </c>
      <c r="F5" s="1">
        <v>3.7559999999999998</v>
      </c>
      <c r="G5" s="1">
        <v>9.1999999999999993</v>
      </c>
      <c r="H5" s="1">
        <v>4</v>
      </c>
      <c r="I5" s="13">
        <v>74.3</v>
      </c>
      <c r="J5" s="1">
        <v>0</v>
      </c>
      <c r="K5" s="1">
        <v>28.5</v>
      </c>
      <c r="L5" s="1">
        <v>0</v>
      </c>
      <c r="M5" s="1">
        <v>17.100000000000001</v>
      </c>
      <c r="N5" s="1">
        <v>0</v>
      </c>
    </row>
    <row r="6" spans="1:35" x14ac:dyDescent="0.2">
      <c r="A6" s="1" t="s">
        <v>66</v>
      </c>
      <c r="B6" s="1" t="s">
        <v>37</v>
      </c>
      <c r="C6" s="1">
        <v>3.4959999999999998E-2</v>
      </c>
      <c r="D6" s="1">
        <v>9.4500000000000001E-2</v>
      </c>
      <c r="E6" s="1">
        <v>54.9</v>
      </c>
      <c r="F6" s="1">
        <v>4.7270000000000003</v>
      </c>
      <c r="G6" s="1">
        <v>9.1</v>
      </c>
      <c r="H6" s="1">
        <v>10</v>
      </c>
      <c r="I6" s="13">
        <v>25.3</v>
      </c>
      <c r="J6" s="1">
        <v>6</v>
      </c>
      <c r="K6" s="1">
        <v>56.1</v>
      </c>
      <c r="L6" s="1">
        <v>29</v>
      </c>
      <c r="M6" s="1">
        <v>18.3</v>
      </c>
      <c r="N6" s="1">
        <v>0</v>
      </c>
      <c r="O6" s="1">
        <v>52.2</v>
      </c>
      <c r="P6" s="1">
        <v>29</v>
      </c>
      <c r="Q6" s="1">
        <v>11.1</v>
      </c>
      <c r="R6" s="1">
        <v>0</v>
      </c>
      <c r="S6" s="1">
        <v>29.2</v>
      </c>
      <c r="T6" s="1">
        <v>4</v>
      </c>
      <c r="U6" s="1">
        <v>50.5</v>
      </c>
      <c r="V6" s="1">
        <v>17</v>
      </c>
      <c r="W6" s="1">
        <v>50.5</v>
      </c>
      <c r="X6" s="1">
        <v>18</v>
      </c>
      <c r="Y6" s="1">
        <v>50.3</v>
      </c>
      <c r="Z6" s="1">
        <v>3</v>
      </c>
      <c r="AA6" s="1">
        <v>54.5</v>
      </c>
      <c r="AB6" s="1">
        <v>8</v>
      </c>
      <c r="AC6" s="1">
        <v>56.1</v>
      </c>
      <c r="AD6" s="1">
        <v>8</v>
      </c>
    </row>
    <row r="7" spans="1:35" x14ac:dyDescent="0.2">
      <c r="A7" s="1" t="s">
        <v>66</v>
      </c>
      <c r="B7" s="1" t="s">
        <v>79</v>
      </c>
      <c r="C7" s="1">
        <v>7.2050000000000003E-2</v>
      </c>
      <c r="D7" s="1">
        <v>0.10722</v>
      </c>
      <c r="E7" s="1">
        <v>85.6</v>
      </c>
      <c r="F7" s="1">
        <v>6.84</v>
      </c>
      <c r="G7" s="1">
        <v>7.5</v>
      </c>
      <c r="I7" s="13">
        <v>70.400000000000006</v>
      </c>
      <c r="K7" s="1">
        <v>78.400000000000006</v>
      </c>
      <c r="M7" s="1">
        <v>77</v>
      </c>
    </row>
    <row r="8" spans="1:35" x14ac:dyDescent="0.2">
      <c r="A8" s="1" t="s">
        <v>66</v>
      </c>
      <c r="B8" s="1" t="s">
        <v>55</v>
      </c>
      <c r="C8" s="1">
        <v>5.3580000000000003E-2</v>
      </c>
      <c r="D8" s="1">
        <v>3.1789999999999999E-2</v>
      </c>
      <c r="E8" s="1">
        <v>38.1</v>
      </c>
      <c r="F8" s="1">
        <v>6.4189999999999996</v>
      </c>
      <c r="G8" s="1">
        <v>10.6</v>
      </c>
      <c r="H8" s="1">
        <v>0</v>
      </c>
      <c r="I8" s="13">
        <v>5.5</v>
      </c>
      <c r="J8" s="1">
        <v>0</v>
      </c>
      <c r="K8" s="1">
        <v>10.5</v>
      </c>
      <c r="L8" s="1">
        <v>0</v>
      </c>
      <c r="M8" s="1">
        <v>38.200000000000003</v>
      </c>
      <c r="N8" s="1">
        <v>6</v>
      </c>
    </row>
    <row r="9" spans="1:35" x14ac:dyDescent="0.2">
      <c r="A9" s="1" t="s">
        <v>66</v>
      </c>
      <c r="B9" s="1" t="s">
        <v>56</v>
      </c>
      <c r="C9" s="1">
        <v>3.8809999999999997E-2</v>
      </c>
      <c r="D9" s="1">
        <v>6.1060000000000003E-2</v>
      </c>
      <c r="E9" s="1">
        <v>50.1</v>
      </c>
      <c r="F9" s="1">
        <v>5.54</v>
      </c>
      <c r="G9" s="1">
        <v>7.7</v>
      </c>
      <c r="H9" s="1">
        <v>22</v>
      </c>
      <c r="I9" s="13">
        <v>58.8</v>
      </c>
      <c r="J9" s="1">
        <v>33</v>
      </c>
      <c r="K9" s="1">
        <v>60.5</v>
      </c>
      <c r="L9" s="1">
        <v>16</v>
      </c>
      <c r="M9" s="1">
        <v>57.2</v>
      </c>
      <c r="N9" s="1">
        <v>35</v>
      </c>
    </row>
    <row r="10" spans="1:35" x14ac:dyDescent="0.2">
      <c r="A10" s="1" t="s">
        <v>66</v>
      </c>
      <c r="B10" s="1" t="s">
        <v>43</v>
      </c>
      <c r="C10" s="1">
        <v>7.9189999999999997E-2</v>
      </c>
      <c r="D10" s="1">
        <v>4.607E-2</v>
      </c>
      <c r="E10" s="1">
        <v>56</v>
      </c>
      <c r="F10" s="1">
        <v>7.96</v>
      </c>
      <c r="G10" s="1">
        <v>8.1999999999999993</v>
      </c>
      <c r="H10" s="1">
        <v>25</v>
      </c>
      <c r="I10" s="13">
        <v>65.2</v>
      </c>
      <c r="J10" s="1">
        <v>14</v>
      </c>
      <c r="K10" s="1">
        <v>35.5</v>
      </c>
      <c r="L10" s="1">
        <v>7</v>
      </c>
    </row>
    <row r="11" spans="1:35" x14ac:dyDescent="0.2">
      <c r="A11" s="1" t="s">
        <v>66</v>
      </c>
      <c r="B11" s="1" t="s">
        <v>80</v>
      </c>
      <c r="C11" s="1">
        <v>3.9759999999999997E-2</v>
      </c>
      <c r="D11" s="1">
        <v>0.11509999999999999</v>
      </c>
      <c r="E11" s="1">
        <v>58.5</v>
      </c>
      <c r="F11" s="1">
        <v>4.6689999999999996</v>
      </c>
      <c r="G11" s="1">
        <v>7.9</v>
      </c>
      <c r="H11" s="1">
        <v>2</v>
      </c>
      <c r="I11" s="13">
        <v>40.200000000000003</v>
      </c>
      <c r="J11" s="1">
        <v>0</v>
      </c>
      <c r="K11" s="1">
        <v>10.1</v>
      </c>
      <c r="L11" s="1">
        <v>0</v>
      </c>
      <c r="M11" s="1">
        <v>7.8</v>
      </c>
      <c r="N11" s="1">
        <v>0</v>
      </c>
      <c r="O11" s="1">
        <v>58.2</v>
      </c>
      <c r="P11" s="1">
        <v>4</v>
      </c>
      <c r="Q11" s="1">
        <v>59.2</v>
      </c>
      <c r="R11" s="1">
        <v>0</v>
      </c>
      <c r="S11" s="1">
        <v>34.700000000000003</v>
      </c>
      <c r="T11" s="1">
        <v>0</v>
      </c>
      <c r="U11" s="1">
        <v>23.7</v>
      </c>
      <c r="V11" s="1">
        <v>3</v>
      </c>
      <c r="W11" s="1">
        <v>64</v>
      </c>
      <c r="X11" s="1">
        <v>1</v>
      </c>
    </row>
    <row r="12" spans="1:35" x14ac:dyDescent="0.2">
      <c r="A12" s="1" t="s">
        <v>66</v>
      </c>
      <c r="B12" s="1" t="s">
        <v>71</v>
      </c>
      <c r="C12" s="1">
        <v>3.6749999999999998E-2</v>
      </c>
      <c r="D12" s="1">
        <v>9.2259999999999995E-2</v>
      </c>
      <c r="E12" s="1">
        <v>45.3</v>
      </c>
      <c r="F12" s="1">
        <v>4.5339999999999998</v>
      </c>
      <c r="G12" s="1">
        <v>10.1</v>
      </c>
      <c r="H12" s="1">
        <v>7</v>
      </c>
      <c r="I12" s="13">
        <v>32</v>
      </c>
      <c r="J12" s="1">
        <v>0</v>
      </c>
      <c r="K12" s="1">
        <v>52.5</v>
      </c>
      <c r="L12" s="1">
        <v>15</v>
      </c>
      <c r="M12" s="1">
        <v>50.3</v>
      </c>
      <c r="N12" s="1">
        <v>16</v>
      </c>
      <c r="O12" s="1">
        <v>51.2</v>
      </c>
      <c r="P12" s="1">
        <v>18</v>
      </c>
      <c r="Q12" s="1">
        <v>54</v>
      </c>
      <c r="R12" s="1">
        <v>9</v>
      </c>
      <c r="S12" s="1">
        <v>18.100000000000001</v>
      </c>
      <c r="T12" s="1">
        <v>0</v>
      </c>
      <c r="U12" s="1">
        <v>4.5</v>
      </c>
      <c r="V12" s="1">
        <v>0</v>
      </c>
      <c r="W12" s="1">
        <v>55.5</v>
      </c>
      <c r="X12" s="1">
        <v>6</v>
      </c>
    </row>
    <row r="13" spans="1:35" x14ac:dyDescent="0.2">
      <c r="A13" s="1" t="s">
        <v>66</v>
      </c>
      <c r="B13" s="1" t="s">
        <v>82</v>
      </c>
      <c r="C13" s="1">
        <v>3.5389999999999998E-2</v>
      </c>
      <c r="D13" s="1">
        <v>8.1920000000000007E-2</v>
      </c>
      <c r="E13" s="1">
        <v>51.5</v>
      </c>
      <c r="F13" s="1">
        <v>4.673</v>
      </c>
      <c r="G13" s="1">
        <v>10.8</v>
      </c>
      <c r="H13" s="1">
        <v>0</v>
      </c>
      <c r="I13" s="13">
        <v>75.400000000000006</v>
      </c>
      <c r="J13" s="1">
        <v>0</v>
      </c>
      <c r="K13" s="1">
        <v>68.2</v>
      </c>
      <c r="L13" s="1">
        <v>0</v>
      </c>
    </row>
  </sheetData>
  <pageMargins left="0.7" right="0.7" top="0.75" bottom="0.75" header="0.3" footer="0.3"/>
  <pageSetup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AD8DE-360A-2C4B-BE9F-6F53F408111D}">
  <dimension ref="A1:I84"/>
  <sheetViews>
    <sheetView zoomScale="140" zoomScaleNormal="140" workbookViewId="0">
      <pane ySplit="1" topLeftCell="A45" activePane="bottomLeft" state="frozen"/>
      <selection pane="bottomLeft" activeCell="A61" sqref="A61"/>
    </sheetView>
    <sheetView zoomScale="140" zoomScaleNormal="140" workbookViewId="1">
      <pane ySplit="1" topLeftCell="A68" activePane="bottomLeft" state="frozen"/>
      <selection pane="bottomLeft" activeCell="H67" sqref="H67"/>
    </sheetView>
    <sheetView workbookViewId="2"/>
    <sheetView workbookViewId="3"/>
  </sheetViews>
  <sheetFormatPr baseColWidth="10" defaultRowHeight="16" x14ac:dyDescent="0.2"/>
  <cols>
    <col min="4" max="4" width="9.33203125" style="1" bestFit="1" customWidth="1"/>
    <col min="5" max="5" width="4.5" style="1" customWidth="1"/>
    <col min="6" max="6" width="14.1640625" style="1" bestFit="1" customWidth="1"/>
    <col min="7" max="7" width="14.83203125" style="1" bestFit="1" customWidth="1"/>
    <col min="8" max="8" width="14.1640625" style="1" bestFit="1" customWidth="1"/>
  </cols>
  <sheetData>
    <row r="1" spans="1:8" x14ac:dyDescent="0.2">
      <c r="A1" t="s">
        <v>3</v>
      </c>
      <c r="B1" t="s">
        <v>1</v>
      </c>
      <c r="C1" t="s">
        <v>76</v>
      </c>
      <c r="D1" s="1" t="s">
        <v>62</v>
      </c>
      <c r="E1" s="1" t="s">
        <v>61</v>
      </c>
      <c r="F1" s="1" t="s">
        <v>74</v>
      </c>
      <c r="G1" s="1" t="s">
        <v>73</v>
      </c>
      <c r="H1" s="1" t="s">
        <v>75</v>
      </c>
    </row>
    <row r="2" spans="1:8" x14ac:dyDescent="0.2">
      <c r="A2" t="s">
        <v>4</v>
      </c>
      <c r="B2" t="s">
        <v>20</v>
      </c>
      <c r="C2" t="str">
        <f>A2&amp;B2</f>
        <v>AY3C</v>
      </c>
      <c r="D2" s="1" t="s">
        <v>63</v>
      </c>
      <c r="E2" s="1" t="s">
        <v>65</v>
      </c>
      <c r="F2" s="1">
        <v>2.3400000000000001E-3</v>
      </c>
      <c r="G2" s="1">
        <v>4.9100000000000003E-3</v>
      </c>
    </row>
    <row r="3" spans="1:8" x14ac:dyDescent="0.2">
      <c r="A3" t="s">
        <v>4</v>
      </c>
      <c r="B3" t="s">
        <v>35</v>
      </c>
      <c r="C3" t="str">
        <f t="shared" ref="C3:C37" si="0">A3&amp;B3</f>
        <v>AD3C</v>
      </c>
      <c r="D3" s="1" t="s">
        <v>63</v>
      </c>
      <c r="E3" s="1" t="s">
        <v>66</v>
      </c>
      <c r="F3" s="1">
        <v>3.15E-3</v>
      </c>
      <c r="G3" s="1">
        <v>2.426E-2</v>
      </c>
    </row>
    <row r="4" spans="1:8" x14ac:dyDescent="0.2">
      <c r="A4" t="s">
        <v>4</v>
      </c>
      <c r="B4" t="s">
        <v>31</v>
      </c>
      <c r="C4" t="str">
        <f t="shared" si="0"/>
        <v>AD2I</v>
      </c>
      <c r="D4" s="1" t="s">
        <v>64</v>
      </c>
      <c r="E4" s="1" t="s">
        <v>66</v>
      </c>
      <c r="F4" s="1">
        <v>5.96E-3</v>
      </c>
      <c r="G4" s="1">
        <v>1.1820000000000001E-2</v>
      </c>
    </row>
    <row r="5" spans="1:8" x14ac:dyDescent="0.2">
      <c r="A5" t="s">
        <v>4</v>
      </c>
      <c r="B5" t="s">
        <v>15</v>
      </c>
      <c r="C5" t="str">
        <f t="shared" si="0"/>
        <v>AY4C</v>
      </c>
      <c r="D5" s="1" t="s">
        <v>63</v>
      </c>
      <c r="E5" s="1" t="s">
        <v>65</v>
      </c>
      <c r="F5" s="1">
        <v>9.3999999999999997E-4</v>
      </c>
      <c r="G5" s="1">
        <v>5.1399999999999996E-3</v>
      </c>
    </row>
    <row r="6" spans="1:8" x14ac:dyDescent="0.2">
      <c r="A6" t="s">
        <v>4</v>
      </c>
      <c r="B6" t="s">
        <v>37</v>
      </c>
      <c r="C6" t="str">
        <f t="shared" si="0"/>
        <v>AY6I</v>
      </c>
      <c r="D6" s="1" t="s">
        <v>64</v>
      </c>
      <c r="E6" s="1" t="s">
        <v>65</v>
      </c>
      <c r="F6" s="1">
        <v>2.5100000000000001E-3</v>
      </c>
      <c r="G6" s="1">
        <v>2.3000000000000001E-4</v>
      </c>
    </row>
    <row r="7" spans="1:8" x14ac:dyDescent="0.2">
      <c r="A7" t="s">
        <v>4</v>
      </c>
      <c r="B7" t="s">
        <v>43</v>
      </c>
      <c r="C7" t="str">
        <f t="shared" si="0"/>
        <v>AD6I</v>
      </c>
      <c r="D7" s="1" t="s">
        <v>64</v>
      </c>
      <c r="E7" s="1" t="s">
        <v>66</v>
      </c>
      <c r="F7" s="1">
        <v>2.4099999999999998E-3</v>
      </c>
      <c r="G7" s="1">
        <v>1.376E-2</v>
      </c>
    </row>
    <row r="8" spans="1:8" x14ac:dyDescent="0.2">
      <c r="A8" t="s">
        <v>4</v>
      </c>
      <c r="B8" t="s">
        <v>34</v>
      </c>
      <c r="C8" t="str">
        <f t="shared" si="0"/>
        <v>AY2I</v>
      </c>
      <c r="D8" s="1" t="s">
        <v>64</v>
      </c>
      <c r="E8" s="1" t="s">
        <v>65</v>
      </c>
      <c r="F8" s="1">
        <v>2.2499999999999998E-3</v>
      </c>
      <c r="G8" s="1">
        <v>3.1900000000000001E-3</v>
      </c>
    </row>
    <row r="9" spans="1:8" x14ac:dyDescent="0.2">
      <c r="A9" t="s">
        <v>4</v>
      </c>
      <c r="B9" t="s">
        <v>21</v>
      </c>
      <c r="C9" t="str">
        <f t="shared" si="0"/>
        <v>AY1I</v>
      </c>
      <c r="D9" s="1" t="s">
        <v>64</v>
      </c>
      <c r="E9" s="1" t="s">
        <v>65</v>
      </c>
      <c r="F9" s="1">
        <v>8.3599999999999994E-3</v>
      </c>
      <c r="G9" s="1">
        <v>2.2799999999999999E-3</v>
      </c>
    </row>
    <row r="10" spans="1:8" x14ac:dyDescent="0.2">
      <c r="A10" t="s">
        <v>4</v>
      </c>
      <c r="B10" t="s">
        <v>5</v>
      </c>
      <c r="C10" t="str">
        <f t="shared" si="0"/>
        <v>AD4C</v>
      </c>
      <c r="D10" s="1" t="s">
        <v>63</v>
      </c>
      <c r="E10" s="1" t="s">
        <v>66</v>
      </c>
      <c r="F10" s="1">
        <v>1.145E-2</v>
      </c>
      <c r="G10" s="1">
        <v>1.235E-2</v>
      </c>
    </row>
    <row r="11" spans="1:8" x14ac:dyDescent="0.2">
      <c r="A11" t="s">
        <v>4</v>
      </c>
      <c r="B11" t="s">
        <v>36</v>
      </c>
      <c r="C11" t="str">
        <f t="shared" si="0"/>
        <v>AD5I</v>
      </c>
      <c r="D11" s="1" t="s">
        <v>64</v>
      </c>
      <c r="E11" s="1" t="s">
        <v>66</v>
      </c>
      <c r="F11" s="1">
        <v>4.2500000000000003E-3</v>
      </c>
      <c r="G11" s="1">
        <v>4.9500000000000004E-3</v>
      </c>
    </row>
    <row r="12" spans="1:8" s="11" customFormat="1" x14ac:dyDescent="0.2">
      <c r="A12" s="11" t="s">
        <v>4</v>
      </c>
      <c r="B12" s="11" t="s">
        <v>44</v>
      </c>
      <c r="C12" s="11" t="str">
        <f t="shared" si="0"/>
        <v>AD1I</v>
      </c>
      <c r="D12" s="12" t="s">
        <v>64</v>
      </c>
      <c r="E12" s="12" t="s">
        <v>66</v>
      </c>
      <c r="F12" s="12">
        <v>1.289E-2</v>
      </c>
      <c r="G12" s="12">
        <v>4.62E-3</v>
      </c>
      <c r="H12" s="12"/>
    </row>
    <row r="13" spans="1:8" x14ac:dyDescent="0.2">
      <c r="A13" t="s">
        <v>54</v>
      </c>
      <c r="B13" t="s">
        <v>71</v>
      </c>
      <c r="C13" t="str">
        <f t="shared" si="0"/>
        <v>BY4I</v>
      </c>
      <c r="D13" s="1" t="str">
        <f>RIGHT(C13,1)</f>
        <v>I</v>
      </c>
      <c r="E13" s="1" t="str">
        <f>LEFT(B13,1)</f>
        <v>Y</v>
      </c>
      <c r="F13" s="1">
        <v>9.1900000000000003E-3</v>
      </c>
      <c r="G13" s="1">
        <v>8.8199999999999997E-3</v>
      </c>
      <c r="H13" s="1">
        <v>1.865E-2</v>
      </c>
    </row>
    <row r="14" spans="1:8" x14ac:dyDescent="0.2">
      <c r="A14" t="s">
        <v>54</v>
      </c>
      <c r="B14" t="s">
        <v>36</v>
      </c>
      <c r="C14" t="str">
        <f t="shared" si="0"/>
        <v>BD5I</v>
      </c>
      <c r="D14" s="1" t="str">
        <f t="shared" ref="D14:D37" si="1">RIGHT(C14,1)</f>
        <v>I</v>
      </c>
      <c r="E14" s="1" t="str">
        <f t="shared" ref="E14:E38" si="2">LEFT(B14,1)</f>
        <v>D</v>
      </c>
      <c r="F14" s="1">
        <v>4.3099999999999996E-3</v>
      </c>
      <c r="G14" s="1">
        <v>3.62E-3</v>
      </c>
      <c r="H14" s="1">
        <v>1.9730000000000001E-2</v>
      </c>
    </row>
    <row r="15" spans="1:8" x14ac:dyDescent="0.2">
      <c r="A15" t="s">
        <v>54</v>
      </c>
      <c r="B15" t="s">
        <v>20</v>
      </c>
      <c r="C15" t="str">
        <f t="shared" si="0"/>
        <v>BY3C</v>
      </c>
      <c r="D15" s="1" t="str">
        <f t="shared" si="1"/>
        <v>C</v>
      </c>
      <c r="E15" s="1" t="str">
        <f t="shared" si="2"/>
        <v>Y</v>
      </c>
      <c r="F15" s="1">
        <v>1.265E-2</v>
      </c>
      <c r="G15" s="1">
        <v>1.154E-2</v>
      </c>
      <c r="H15" s="1">
        <v>3.0500000000000002E-3</v>
      </c>
    </row>
    <row r="16" spans="1:8" x14ac:dyDescent="0.2">
      <c r="A16" t="s">
        <v>54</v>
      </c>
      <c r="B16" t="s">
        <v>44</v>
      </c>
      <c r="C16" t="str">
        <f t="shared" si="0"/>
        <v>BD1I</v>
      </c>
      <c r="D16" s="1" t="str">
        <f t="shared" si="1"/>
        <v>I</v>
      </c>
      <c r="E16" s="1" t="str">
        <f t="shared" si="2"/>
        <v>D</v>
      </c>
      <c r="F16" s="1">
        <v>4.6800000000000001E-3</v>
      </c>
      <c r="G16" s="1">
        <v>7.7999999999999996E-3</v>
      </c>
      <c r="H16" s="1">
        <v>1.704E-2</v>
      </c>
    </row>
    <row r="17" spans="1:8" x14ac:dyDescent="0.2">
      <c r="A17" t="s">
        <v>54</v>
      </c>
      <c r="B17" t="s">
        <v>68</v>
      </c>
      <c r="C17" t="str">
        <f t="shared" si="0"/>
        <v>BY6C</v>
      </c>
      <c r="D17" s="1" t="str">
        <f t="shared" si="1"/>
        <v>C</v>
      </c>
      <c r="E17" s="1" t="str">
        <f t="shared" si="2"/>
        <v>Y</v>
      </c>
      <c r="F17" s="1">
        <v>1.008E-2</v>
      </c>
      <c r="G17" s="1">
        <v>1.1979999999999999E-2</v>
      </c>
      <c r="H17" s="1">
        <v>2.1440000000000001E-2</v>
      </c>
    </row>
    <row r="18" spans="1:8" x14ac:dyDescent="0.2">
      <c r="A18" t="s">
        <v>54</v>
      </c>
      <c r="B18" t="s">
        <v>35</v>
      </c>
      <c r="C18" t="str">
        <f t="shared" si="0"/>
        <v>BD3C</v>
      </c>
      <c r="D18" s="1" t="str">
        <f t="shared" si="1"/>
        <v>C</v>
      </c>
      <c r="E18" s="1" t="str">
        <f t="shared" si="2"/>
        <v>D</v>
      </c>
      <c r="G18" s="1">
        <v>1.6639999999999999E-2</v>
      </c>
      <c r="H18" s="1">
        <v>1.7639999999999999E-2</v>
      </c>
    </row>
    <row r="19" spans="1:8" x14ac:dyDescent="0.2">
      <c r="A19" t="s">
        <v>54</v>
      </c>
      <c r="B19" t="s">
        <v>56</v>
      </c>
      <c r="C19" t="str">
        <f t="shared" si="0"/>
        <v>BY5I</v>
      </c>
      <c r="D19" s="1" t="str">
        <f t="shared" si="1"/>
        <v>I</v>
      </c>
      <c r="E19" s="1" t="str">
        <f t="shared" si="2"/>
        <v>Y</v>
      </c>
      <c r="G19" s="1">
        <v>1.2579999999999999E-2</v>
      </c>
      <c r="H19" s="1">
        <v>2.1160000000000002E-2</v>
      </c>
    </row>
    <row r="20" spans="1:8" x14ac:dyDescent="0.2">
      <c r="A20" t="s">
        <v>54</v>
      </c>
      <c r="B20" t="s">
        <v>31</v>
      </c>
      <c r="C20" t="str">
        <f t="shared" si="0"/>
        <v>BD2I</v>
      </c>
      <c r="D20" s="1" t="str">
        <f t="shared" si="1"/>
        <v>I</v>
      </c>
      <c r="E20" s="1" t="str">
        <f t="shared" si="2"/>
        <v>D</v>
      </c>
      <c r="F20" s="1">
        <v>5.9899999999999997E-3</v>
      </c>
      <c r="G20" s="1">
        <v>1.3339999999999999E-2</v>
      </c>
      <c r="H20" s="1">
        <v>1.9349999999999999E-2</v>
      </c>
    </row>
    <row r="21" spans="1:8" x14ac:dyDescent="0.2">
      <c r="A21" t="s">
        <v>54</v>
      </c>
      <c r="B21" t="s">
        <v>21</v>
      </c>
      <c r="C21" t="str">
        <f t="shared" si="0"/>
        <v>BY1I</v>
      </c>
      <c r="D21" s="1" t="str">
        <f t="shared" si="1"/>
        <v>I</v>
      </c>
      <c r="E21" s="1" t="str">
        <f t="shared" si="2"/>
        <v>Y</v>
      </c>
      <c r="F21" s="1">
        <v>6.6299999999999996E-3</v>
      </c>
      <c r="G21" s="1">
        <v>1.0019999999999999E-2</v>
      </c>
      <c r="H21" s="1">
        <v>1.8069999999999999E-2</v>
      </c>
    </row>
    <row r="22" spans="1:8" x14ac:dyDescent="0.2">
      <c r="A22" t="s">
        <v>54</v>
      </c>
      <c r="B22" t="s">
        <v>55</v>
      </c>
      <c r="C22" t="str">
        <f t="shared" si="0"/>
        <v>BD4I</v>
      </c>
      <c r="D22" s="1" t="str">
        <f t="shared" si="1"/>
        <v>I</v>
      </c>
      <c r="E22" s="1" t="str">
        <f t="shared" si="2"/>
        <v>D</v>
      </c>
      <c r="G22" s="1">
        <v>2.8300000000000001E-3</v>
      </c>
      <c r="H22" s="1">
        <v>1.4409999999999999E-2</v>
      </c>
    </row>
    <row r="23" spans="1:8" x14ac:dyDescent="0.2">
      <c r="A23" t="s">
        <v>54</v>
      </c>
      <c r="B23" t="s">
        <v>34</v>
      </c>
      <c r="C23" t="str">
        <f t="shared" si="0"/>
        <v>BY2I</v>
      </c>
      <c r="D23" s="1" t="str">
        <f t="shared" si="1"/>
        <v>I</v>
      </c>
      <c r="E23" s="1" t="str">
        <f t="shared" si="2"/>
        <v>Y</v>
      </c>
      <c r="G23" s="1">
        <v>1.384E-2</v>
      </c>
      <c r="H23" s="1">
        <v>6.3299999999999997E-3</v>
      </c>
    </row>
    <row r="24" spans="1:8" s="11" customFormat="1" x14ac:dyDescent="0.2">
      <c r="A24" s="11" t="s">
        <v>54</v>
      </c>
      <c r="B24" s="11" t="s">
        <v>70</v>
      </c>
      <c r="C24" s="11" t="str">
        <f t="shared" si="0"/>
        <v>BD6C</v>
      </c>
      <c r="D24" s="12" t="str">
        <f t="shared" si="1"/>
        <v>C</v>
      </c>
      <c r="E24" s="12" t="str">
        <f t="shared" si="2"/>
        <v>D</v>
      </c>
      <c r="F24" s="12">
        <v>4.0099999999999997E-3</v>
      </c>
      <c r="G24" s="12">
        <v>8.9200000000000008E-3</v>
      </c>
      <c r="H24" s="12">
        <v>1.214E-2</v>
      </c>
    </row>
    <row r="25" spans="1:8" x14ac:dyDescent="0.2">
      <c r="A25" t="s">
        <v>63</v>
      </c>
      <c r="B25" t="s">
        <v>84</v>
      </c>
      <c r="C25" t="str">
        <f t="shared" si="0"/>
        <v>CY1C</v>
      </c>
      <c r="D25" s="1" t="str">
        <f t="shared" si="1"/>
        <v>C</v>
      </c>
      <c r="E25" s="1" t="str">
        <f t="shared" si="2"/>
        <v>Y</v>
      </c>
      <c r="F25" s="1">
        <v>5.94E-3</v>
      </c>
      <c r="G25" s="1">
        <v>1.8350000000000002E-2</v>
      </c>
      <c r="H25" s="1">
        <v>2.564E-2</v>
      </c>
    </row>
    <row r="26" spans="1:8" x14ac:dyDescent="0.2">
      <c r="A26" t="s">
        <v>63</v>
      </c>
      <c r="B26" t="s">
        <v>55</v>
      </c>
      <c r="C26" t="str">
        <f t="shared" si="0"/>
        <v>CD4I</v>
      </c>
      <c r="D26" s="1" t="str">
        <f t="shared" si="1"/>
        <v>I</v>
      </c>
      <c r="E26" s="1" t="str">
        <f t="shared" si="2"/>
        <v>D</v>
      </c>
      <c r="F26" s="1">
        <v>2.2499999999999998E-3</v>
      </c>
      <c r="G26" s="1">
        <v>3.4000000000000002E-4</v>
      </c>
      <c r="H26" s="1">
        <v>2.3000000000000001E-4</v>
      </c>
    </row>
    <row r="27" spans="1:8" x14ac:dyDescent="0.2">
      <c r="A27" t="s">
        <v>63</v>
      </c>
      <c r="B27" t="s">
        <v>37</v>
      </c>
      <c r="C27" t="str">
        <f t="shared" si="0"/>
        <v>CY6I</v>
      </c>
      <c r="D27" s="1" t="str">
        <f t="shared" si="1"/>
        <v>I</v>
      </c>
      <c r="E27" s="1" t="str">
        <f t="shared" si="2"/>
        <v>Y</v>
      </c>
      <c r="F27" s="1">
        <v>9.0100000000000006E-3</v>
      </c>
      <c r="G27" s="1">
        <v>2.2259999999999999E-2</v>
      </c>
      <c r="H27" s="1">
        <v>2.4469999999999999E-2</v>
      </c>
    </row>
    <row r="28" spans="1:8" x14ac:dyDescent="0.2">
      <c r="A28" t="s">
        <v>63</v>
      </c>
      <c r="B28" t="s">
        <v>80</v>
      </c>
      <c r="C28" t="str">
        <f t="shared" si="0"/>
        <v>CY3I</v>
      </c>
      <c r="D28" s="1" t="str">
        <f t="shared" si="1"/>
        <v>I</v>
      </c>
      <c r="E28" s="1" t="str">
        <f t="shared" si="2"/>
        <v>Y</v>
      </c>
      <c r="F28" s="1">
        <v>2.7599999999999999E-3</v>
      </c>
      <c r="G28" s="1">
        <v>2.962E-2</v>
      </c>
      <c r="H28" s="1">
        <v>1.07E-3</v>
      </c>
    </row>
    <row r="29" spans="1:8" x14ac:dyDescent="0.2">
      <c r="A29" t="s">
        <v>63</v>
      </c>
      <c r="B29" t="s">
        <v>36</v>
      </c>
      <c r="C29" t="str">
        <f t="shared" si="0"/>
        <v>CD5I</v>
      </c>
      <c r="D29" s="1" t="str">
        <f t="shared" si="1"/>
        <v>I</v>
      </c>
      <c r="E29" s="1" t="str">
        <f t="shared" si="2"/>
        <v>D</v>
      </c>
      <c r="F29" s="1">
        <v>1.3500000000000001E-3</v>
      </c>
      <c r="G29" s="1">
        <v>1.409E-2</v>
      </c>
      <c r="H29" s="1">
        <v>8.0000000000000007E-5</v>
      </c>
    </row>
    <row r="30" spans="1:8" x14ac:dyDescent="0.2">
      <c r="A30" t="s">
        <v>63</v>
      </c>
      <c r="B30" t="s">
        <v>43</v>
      </c>
      <c r="C30" t="str">
        <f t="shared" si="0"/>
        <v>CD6I</v>
      </c>
      <c r="D30" s="1" t="str">
        <f t="shared" si="1"/>
        <v>I</v>
      </c>
      <c r="E30" s="1" t="str">
        <f t="shared" si="2"/>
        <v>D</v>
      </c>
      <c r="F30" s="1">
        <v>5.9899999999999997E-3</v>
      </c>
      <c r="G30" s="1">
        <v>1.532E-2</v>
      </c>
      <c r="H30" s="1">
        <v>1.192E-2</v>
      </c>
    </row>
    <row r="31" spans="1:8" x14ac:dyDescent="0.2">
      <c r="A31" t="s">
        <v>63</v>
      </c>
      <c r="B31" t="s">
        <v>71</v>
      </c>
      <c r="C31" t="str">
        <f t="shared" si="0"/>
        <v>CY4I</v>
      </c>
      <c r="D31" s="1" t="str">
        <f t="shared" si="1"/>
        <v>I</v>
      </c>
      <c r="E31" s="1" t="str">
        <f t="shared" si="2"/>
        <v>Y</v>
      </c>
      <c r="F31" s="1">
        <v>1.221E-2</v>
      </c>
      <c r="G31" s="1">
        <v>3.2439999999999997E-2</v>
      </c>
      <c r="H31" s="1">
        <v>5.8900000000000003E-3</v>
      </c>
    </row>
    <row r="32" spans="1:8" x14ac:dyDescent="0.2">
      <c r="A32" t="s">
        <v>63</v>
      </c>
      <c r="B32" t="s">
        <v>79</v>
      </c>
      <c r="C32" t="str">
        <f t="shared" si="0"/>
        <v>CD2C</v>
      </c>
      <c r="D32" s="1" t="str">
        <f t="shared" si="1"/>
        <v>C</v>
      </c>
      <c r="E32" s="1" t="str">
        <f t="shared" si="2"/>
        <v>D</v>
      </c>
      <c r="F32" s="1">
        <v>2.6700000000000001E-3</v>
      </c>
      <c r="G32" s="1">
        <v>1.277E-2</v>
      </c>
      <c r="H32" s="1">
        <v>1.9220000000000001E-2</v>
      </c>
    </row>
    <row r="33" spans="1:8" x14ac:dyDescent="0.2">
      <c r="A33" t="s">
        <v>63</v>
      </c>
      <c r="B33" t="s">
        <v>77</v>
      </c>
      <c r="C33" t="str">
        <f t="shared" si="0"/>
        <v>CD3I</v>
      </c>
      <c r="D33" s="1" t="str">
        <f t="shared" si="1"/>
        <v>I</v>
      </c>
      <c r="E33" s="1" t="str">
        <f t="shared" si="2"/>
        <v>D</v>
      </c>
      <c r="F33" s="1">
        <v>6.1399999999999996E-3</v>
      </c>
      <c r="G33" s="1">
        <v>5.2199999999999998E-3</v>
      </c>
      <c r="H33" s="1">
        <v>3.3849999999999998E-2</v>
      </c>
    </row>
    <row r="34" spans="1:8" x14ac:dyDescent="0.2">
      <c r="A34" t="s">
        <v>63</v>
      </c>
      <c r="B34" t="s">
        <v>56</v>
      </c>
      <c r="C34" t="str">
        <f t="shared" si="0"/>
        <v>CY5I</v>
      </c>
      <c r="D34" s="1" t="str">
        <f t="shared" si="1"/>
        <v>I</v>
      </c>
      <c r="E34" s="1" t="str">
        <f t="shared" si="2"/>
        <v>Y</v>
      </c>
      <c r="F34" s="1">
        <v>1.008E-2</v>
      </c>
      <c r="G34" s="1">
        <v>1.7319999999999999E-2</v>
      </c>
      <c r="H34" s="1">
        <v>2.6780000000000002E-2</v>
      </c>
    </row>
    <row r="35" spans="1:8" x14ac:dyDescent="0.2">
      <c r="A35" t="s">
        <v>63</v>
      </c>
      <c r="B35" t="s">
        <v>82</v>
      </c>
      <c r="C35" t="str">
        <f t="shared" si="0"/>
        <v>CD1C</v>
      </c>
      <c r="D35" s="1" t="str">
        <f t="shared" si="1"/>
        <v>C</v>
      </c>
      <c r="E35" s="1" t="str">
        <f t="shared" si="2"/>
        <v>D</v>
      </c>
      <c r="F35" s="1">
        <v>3.49E-3</v>
      </c>
      <c r="G35" s="1">
        <v>8.4100000000000008E-3</v>
      </c>
      <c r="H35" s="1">
        <v>7.1900000000000002E-3</v>
      </c>
    </row>
    <row r="36" spans="1:8" s="11" customFormat="1" x14ac:dyDescent="0.2">
      <c r="A36" s="11" t="s">
        <v>63</v>
      </c>
      <c r="B36" s="11" t="s">
        <v>83</v>
      </c>
      <c r="C36" s="11" t="str">
        <f t="shared" si="0"/>
        <v>CY2C</v>
      </c>
      <c r="D36" s="12" t="str">
        <f t="shared" si="1"/>
        <v>C</v>
      </c>
      <c r="E36" s="12" t="str">
        <f t="shared" si="2"/>
        <v>Y</v>
      </c>
      <c r="F36" s="12">
        <v>7.2199999999999999E-3</v>
      </c>
      <c r="G36" s="12">
        <v>1.8849999999999999E-2</v>
      </c>
      <c r="H36" s="12">
        <v>2.334E-2</v>
      </c>
    </row>
    <row r="37" spans="1:8" x14ac:dyDescent="0.2">
      <c r="A37" t="s">
        <v>66</v>
      </c>
      <c r="B37" t="s">
        <v>37</v>
      </c>
      <c r="C37" t="str">
        <f t="shared" si="0"/>
        <v>DY6I</v>
      </c>
      <c r="D37" s="1" t="str">
        <f t="shared" si="1"/>
        <v>I</v>
      </c>
      <c r="E37" s="1" t="str">
        <f t="shared" si="2"/>
        <v>Y</v>
      </c>
      <c r="F37" s="1">
        <v>1.372E-2</v>
      </c>
      <c r="G37" s="1">
        <v>1.231E-2</v>
      </c>
      <c r="H37" s="1">
        <v>3.083E-2</v>
      </c>
    </row>
    <row r="38" spans="1:8" x14ac:dyDescent="0.2">
      <c r="A38" t="s">
        <v>66</v>
      </c>
      <c r="B38" t="s">
        <v>77</v>
      </c>
      <c r="C38" t="str">
        <f t="shared" ref="C38" si="3">A38&amp;B38</f>
        <v>DD3I</v>
      </c>
      <c r="D38" s="1" t="str">
        <f t="shared" ref="D38" si="4">RIGHT(C38,1)</f>
        <v>I</v>
      </c>
      <c r="E38" s="1" t="str">
        <f t="shared" si="2"/>
        <v>D</v>
      </c>
      <c r="F38" s="1">
        <v>3.4199999999999999E-3</v>
      </c>
      <c r="G38" s="1">
        <v>1.8339999999999999E-2</v>
      </c>
      <c r="H38" s="1">
        <v>1.1100000000000001E-3</v>
      </c>
    </row>
    <row r="39" spans="1:8" x14ac:dyDescent="0.2">
      <c r="A39" t="s">
        <v>66</v>
      </c>
      <c r="B39" t="s">
        <v>84</v>
      </c>
      <c r="C39" t="str">
        <f t="shared" ref="C39:C53" si="5">A39&amp;B39</f>
        <v>DY1C</v>
      </c>
      <c r="D39" s="1" t="str">
        <f t="shared" ref="D39:D53" si="6">RIGHT(C39,1)</f>
        <v>C</v>
      </c>
      <c r="E39" s="1" t="str">
        <f t="shared" ref="E39:E53" si="7">LEFT(B39,1)</f>
        <v>Y</v>
      </c>
      <c r="F39" s="1">
        <v>7.9600000000000001E-3</v>
      </c>
      <c r="G39" s="1">
        <v>1.226E-2</v>
      </c>
      <c r="H39" s="1">
        <v>3.1230000000000001E-2</v>
      </c>
    </row>
    <row r="40" spans="1:8" x14ac:dyDescent="0.2">
      <c r="A40" t="s">
        <v>66</v>
      </c>
      <c r="B40" t="s">
        <v>80</v>
      </c>
      <c r="C40" t="str">
        <f t="shared" si="5"/>
        <v>DY3I</v>
      </c>
      <c r="D40" s="1" t="str">
        <f t="shared" si="6"/>
        <v>I</v>
      </c>
      <c r="E40" s="1" t="str">
        <f t="shared" si="7"/>
        <v>Y</v>
      </c>
      <c r="F40" s="1">
        <v>7.3200000000000001E-3</v>
      </c>
      <c r="G40" s="1">
        <v>1.379E-2</v>
      </c>
      <c r="H40" s="1">
        <v>3.431E-2</v>
      </c>
    </row>
    <row r="41" spans="1:8" x14ac:dyDescent="0.2">
      <c r="A41" t="s">
        <v>66</v>
      </c>
      <c r="B41" t="s">
        <v>79</v>
      </c>
      <c r="C41" t="str">
        <f t="shared" si="5"/>
        <v>DD2C</v>
      </c>
      <c r="D41" s="1" t="str">
        <f t="shared" si="6"/>
        <v>C</v>
      </c>
      <c r="E41" s="1" t="str">
        <f t="shared" si="7"/>
        <v>D</v>
      </c>
      <c r="F41" s="1">
        <v>6.2100000000000002E-3</v>
      </c>
      <c r="G41" s="1">
        <v>1.9019999999999999E-2</v>
      </c>
      <c r="H41" s="1">
        <v>2.8639999999999999E-2</v>
      </c>
    </row>
    <row r="42" spans="1:8" x14ac:dyDescent="0.2">
      <c r="A42" t="s">
        <v>66</v>
      </c>
      <c r="B42" t="s">
        <v>55</v>
      </c>
      <c r="C42" t="str">
        <f t="shared" si="5"/>
        <v>DD4I</v>
      </c>
      <c r="D42" s="1" t="str">
        <f t="shared" si="6"/>
        <v>I</v>
      </c>
      <c r="E42" s="1" t="str">
        <f t="shared" si="7"/>
        <v>D</v>
      </c>
      <c r="F42" s="1">
        <v>3.1099999999999999E-3</v>
      </c>
      <c r="G42" s="1">
        <v>1.4630000000000001E-2</v>
      </c>
      <c r="H42" s="1">
        <v>8.6300000000000005E-3</v>
      </c>
    </row>
    <row r="43" spans="1:8" x14ac:dyDescent="0.2">
      <c r="A43" t="s">
        <v>66</v>
      </c>
      <c r="B43" t="s">
        <v>83</v>
      </c>
      <c r="C43" t="str">
        <f t="shared" si="5"/>
        <v>DY2C</v>
      </c>
      <c r="D43" s="1" t="str">
        <f t="shared" si="6"/>
        <v>C</v>
      </c>
      <c r="E43" s="1" t="str">
        <f t="shared" si="7"/>
        <v>Y</v>
      </c>
      <c r="F43" s="1">
        <v>7.8700000000000003E-3</v>
      </c>
      <c r="G43" s="1">
        <v>1.6830000000000001E-2</v>
      </c>
      <c r="H43" s="1">
        <v>2.5780000000000001E-2</v>
      </c>
    </row>
    <row r="44" spans="1:8" x14ac:dyDescent="0.2">
      <c r="A44" t="s">
        <v>66</v>
      </c>
      <c r="B44" t="s">
        <v>56</v>
      </c>
      <c r="C44" t="str">
        <f t="shared" si="5"/>
        <v>DY5I</v>
      </c>
      <c r="D44" s="1" t="str">
        <f t="shared" si="6"/>
        <v>I</v>
      </c>
      <c r="E44" s="1" t="str">
        <f t="shared" si="7"/>
        <v>Y</v>
      </c>
      <c r="F44" s="1">
        <v>4.6499999999999996E-3</v>
      </c>
      <c r="G44" s="1">
        <v>1.336E-2</v>
      </c>
      <c r="H44" s="1">
        <v>2.145E-2</v>
      </c>
    </row>
    <row r="45" spans="1:8" x14ac:dyDescent="0.2">
      <c r="A45" t="s">
        <v>66</v>
      </c>
      <c r="B45" t="s">
        <v>36</v>
      </c>
      <c r="C45" t="str">
        <f t="shared" si="5"/>
        <v>DD5I</v>
      </c>
      <c r="D45" s="1" t="str">
        <f t="shared" si="6"/>
        <v>I</v>
      </c>
      <c r="E45" s="1" t="str">
        <f t="shared" si="7"/>
        <v>D</v>
      </c>
      <c r="F45" s="1">
        <v>4.6699999999999997E-3</v>
      </c>
      <c r="G45" s="1">
        <v>7.6600000000000001E-3</v>
      </c>
      <c r="H45" s="1">
        <v>1.6080000000000001E-2</v>
      </c>
    </row>
    <row r="46" spans="1:8" x14ac:dyDescent="0.2">
      <c r="A46" t="s">
        <v>66</v>
      </c>
      <c r="B46" t="s">
        <v>43</v>
      </c>
      <c r="C46" t="str">
        <f t="shared" si="5"/>
        <v>DD6I</v>
      </c>
      <c r="D46" s="1" t="str">
        <f t="shared" si="6"/>
        <v>I</v>
      </c>
      <c r="E46" s="1" t="str">
        <f t="shared" si="7"/>
        <v>D</v>
      </c>
      <c r="F46" s="1">
        <v>4.8399999999999997E-3</v>
      </c>
      <c r="G46" s="1">
        <v>2.3019999999999999E-2</v>
      </c>
      <c r="H46" s="1">
        <v>1.384E-2</v>
      </c>
    </row>
    <row r="47" spans="1:8" x14ac:dyDescent="0.2">
      <c r="A47" t="s">
        <v>66</v>
      </c>
      <c r="B47" t="s">
        <v>71</v>
      </c>
      <c r="C47" t="str">
        <f t="shared" si="5"/>
        <v>DY4I</v>
      </c>
      <c r="D47" s="1" t="str">
        <f t="shared" si="6"/>
        <v>I</v>
      </c>
      <c r="E47" s="1" t="str">
        <f t="shared" si="7"/>
        <v>Y</v>
      </c>
      <c r="F47" s="1">
        <v>6.6400000000000001E-3</v>
      </c>
      <c r="G47" s="1">
        <v>1.2239999999999999E-2</v>
      </c>
      <c r="H47" s="1">
        <v>3.1449999999999999E-2</v>
      </c>
    </row>
    <row r="48" spans="1:8" s="11" customFormat="1" x14ac:dyDescent="0.2">
      <c r="A48" s="11" t="s">
        <v>66</v>
      </c>
      <c r="B48" s="11" t="s">
        <v>82</v>
      </c>
      <c r="C48" s="11" t="str">
        <f t="shared" si="5"/>
        <v>DD1C</v>
      </c>
      <c r="D48" s="12" t="str">
        <f t="shared" si="6"/>
        <v>C</v>
      </c>
      <c r="E48" s="12" t="str">
        <f t="shared" si="7"/>
        <v>D</v>
      </c>
      <c r="F48" s="12">
        <v>4.15E-3</v>
      </c>
      <c r="G48" s="12">
        <v>1.268E-2</v>
      </c>
      <c r="H48" s="12">
        <v>2.3529999999999999E-2</v>
      </c>
    </row>
    <row r="49" spans="1:9" x14ac:dyDescent="0.2">
      <c r="A49" t="s">
        <v>85</v>
      </c>
      <c r="B49" t="s">
        <v>86</v>
      </c>
      <c r="C49" t="str">
        <f t="shared" si="5"/>
        <v>EC2</v>
      </c>
      <c r="D49" s="1" t="str">
        <f t="shared" si="6"/>
        <v>2</v>
      </c>
      <c r="E49" s="1" t="str">
        <f t="shared" si="7"/>
        <v>C</v>
      </c>
      <c r="F49" s="1">
        <v>3.2100000000000002E-3</v>
      </c>
      <c r="G49" s="1">
        <v>4.6800000000000001E-3</v>
      </c>
      <c r="H49" s="1">
        <v>4.4299999999999999E-3</v>
      </c>
    </row>
    <row r="50" spans="1:9" x14ac:dyDescent="0.2">
      <c r="A50" t="s">
        <v>85</v>
      </c>
      <c r="B50" t="s">
        <v>106</v>
      </c>
      <c r="C50" t="str">
        <f t="shared" si="5"/>
        <v>EJ1</v>
      </c>
      <c r="D50" s="1" t="str">
        <f t="shared" si="6"/>
        <v>1</v>
      </c>
      <c r="E50" s="1" t="str">
        <f t="shared" si="7"/>
        <v>J</v>
      </c>
      <c r="F50" s="1">
        <v>2.0799999999999998E-3</v>
      </c>
      <c r="G50" s="1">
        <v>4.8199999999999996E-3</v>
      </c>
    </row>
    <row r="51" spans="1:9" x14ac:dyDescent="0.2">
      <c r="A51" t="s">
        <v>85</v>
      </c>
      <c r="B51" t="s">
        <v>111</v>
      </c>
      <c r="C51" t="str">
        <f t="shared" si="5"/>
        <v>ER2</v>
      </c>
      <c r="D51" s="1" t="str">
        <f t="shared" si="6"/>
        <v>2</v>
      </c>
      <c r="E51" s="1" t="str">
        <f t="shared" si="7"/>
        <v>R</v>
      </c>
      <c r="F51" s="1">
        <v>3.2200000000000002E-3</v>
      </c>
      <c r="G51" s="1" t="s">
        <v>128</v>
      </c>
      <c r="H51" s="1">
        <v>9.5600000000000008E-3</v>
      </c>
    </row>
    <row r="52" spans="1:9" x14ac:dyDescent="0.2">
      <c r="A52" t="s">
        <v>85</v>
      </c>
      <c r="B52" t="s">
        <v>88</v>
      </c>
      <c r="C52" t="str">
        <f t="shared" si="5"/>
        <v>EM1</v>
      </c>
      <c r="D52" s="1" t="str">
        <f t="shared" si="6"/>
        <v>1</v>
      </c>
      <c r="E52" s="1" t="str">
        <f t="shared" si="7"/>
        <v>M</v>
      </c>
      <c r="F52" s="1">
        <v>4.5399999999999998E-3</v>
      </c>
      <c r="G52" s="1">
        <v>3.0100000000000001E-3</v>
      </c>
      <c r="H52" s="1">
        <v>5.28E-3</v>
      </c>
    </row>
    <row r="53" spans="1:9" x14ac:dyDescent="0.2">
      <c r="A53" t="s">
        <v>85</v>
      </c>
      <c r="B53" t="s">
        <v>107</v>
      </c>
      <c r="C53" t="str">
        <f t="shared" si="5"/>
        <v>EC3</v>
      </c>
      <c r="D53" s="1" t="str">
        <f t="shared" si="6"/>
        <v>3</v>
      </c>
      <c r="E53" s="1" t="str">
        <f t="shared" si="7"/>
        <v>C</v>
      </c>
      <c r="F53" s="1">
        <v>5.8700000000000002E-3</v>
      </c>
      <c r="G53" s="1">
        <v>6.2500000000000003E-3</v>
      </c>
    </row>
    <row r="54" spans="1:9" x14ac:dyDescent="0.2">
      <c r="A54" t="s">
        <v>85</v>
      </c>
      <c r="B54" t="s">
        <v>92</v>
      </c>
      <c r="C54" t="str">
        <f t="shared" ref="C54:C84" si="8">A54&amp;B54</f>
        <v>EM2</v>
      </c>
      <c r="D54" s="1" t="str">
        <f t="shared" ref="D54:D84" si="9">RIGHT(C54,1)</f>
        <v>2</v>
      </c>
      <c r="E54" s="1" t="str">
        <f t="shared" ref="E54:E72" si="10">LEFT(B54,1)</f>
        <v>M</v>
      </c>
      <c r="F54" s="1">
        <v>5.8199999999999997E-3</v>
      </c>
      <c r="G54" s="1">
        <v>3.0000000000000001E-3</v>
      </c>
      <c r="H54" s="1">
        <v>3.49E-3</v>
      </c>
    </row>
    <row r="55" spans="1:9" x14ac:dyDescent="0.2">
      <c r="A55" t="s">
        <v>85</v>
      </c>
      <c r="B55" t="s">
        <v>113</v>
      </c>
      <c r="C55" t="str">
        <f t="shared" si="8"/>
        <v>EJ2</v>
      </c>
      <c r="D55" s="1" t="str">
        <f t="shared" si="9"/>
        <v>2</v>
      </c>
      <c r="E55" s="1" t="str">
        <f t="shared" si="10"/>
        <v>J</v>
      </c>
      <c r="F55" s="1">
        <v>1.3999999999999999E-4</v>
      </c>
      <c r="G55" s="1">
        <v>3.4099999999999998E-3</v>
      </c>
      <c r="H55" s="1">
        <v>3.13E-3</v>
      </c>
    </row>
    <row r="56" spans="1:9" x14ac:dyDescent="0.2">
      <c r="A56" t="s">
        <v>85</v>
      </c>
      <c r="B56" t="s">
        <v>102</v>
      </c>
      <c r="C56" t="str">
        <f t="shared" si="8"/>
        <v>EM3</v>
      </c>
      <c r="D56" s="1" t="str">
        <f t="shared" si="9"/>
        <v>3</v>
      </c>
      <c r="E56" s="1" t="str">
        <f t="shared" si="10"/>
        <v>M</v>
      </c>
      <c r="F56" s="1">
        <v>1.0200000000000001E-3</v>
      </c>
      <c r="G56" s="1">
        <v>5.9300000000000004E-3</v>
      </c>
    </row>
    <row r="57" spans="1:9" x14ac:dyDescent="0.2">
      <c r="A57" t="s">
        <v>85</v>
      </c>
      <c r="B57" t="s">
        <v>110</v>
      </c>
      <c r="C57" t="str">
        <f t="shared" si="8"/>
        <v>ER1</v>
      </c>
      <c r="D57" s="1" t="str">
        <f t="shared" si="9"/>
        <v>1</v>
      </c>
      <c r="E57" s="1" t="str">
        <f t="shared" si="10"/>
        <v>R</v>
      </c>
      <c r="F57" s="1">
        <v>4.0699999999999998E-3</v>
      </c>
      <c r="G57" s="1">
        <v>5.7999999999999996E-3</v>
      </c>
    </row>
    <row r="58" spans="1:9" x14ac:dyDescent="0.2">
      <c r="A58" t="s">
        <v>85</v>
      </c>
      <c r="B58" t="s">
        <v>109</v>
      </c>
      <c r="C58" t="str">
        <f t="shared" si="8"/>
        <v>EJ3</v>
      </c>
      <c r="D58" s="1" t="str">
        <f t="shared" si="9"/>
        <v>3</v>
      </c>
      <c r="E58" s="1" t="str">
        <f t="shared" si="10"/>
        <v>J</v>
      </c>
      <c r="F58" s="1">
        <v>1E-3</v>
      </c>
      <c r="G58" s="1">
        <v>6.6100000000000004E-3</v>
      </c>
      <c r="H58" s="1">
        <v>3.98E-3</v>
      </c>
      <c r="I58" t="s">
        <v>126</v>
      </c>
    </row>
    <row r="59" spans="1:9" x14ac:dyDescent="0.2">
      <c r="A59" t="s">
        <v>85</v>
      </c>
      <c r="B59" t="s">
        <v>108</v>
      </c>
      <c r="C59" t="str">
        <f t="shared" si="8"/>
        <v>EC1</v>
      </c>
      <c r="D59" s="1" t="str">
        <f t="shared" si="9"/>
        <v>1</v>
      </c>
      <c r="E59" s="1" t="str">
        <f t="shared" si="10"/>
        <v>C</v>
      </c>
      <c r="F59" s="1">
        <v>2.5100000000000001E-3</v>
      </c>
      <c r="G59" s="1">
        <v>6.9800000000000001E-3</v>
      </c>
      <c r="H59" s="1">
        <v>2.1000000000000001E-4</v>
      </c>
    </row>
    <row r="60" spans="1:9" s="11" customFormat="1" x14ac:dyDescent="0.2">
      <c r="A60" s="11" t="s">
        <v>85</v>
      </c>
      <c r="B60" s="11" t="s">
        <v>114</v>
      </c>
      <c r="C60" s="11" t="str">
        <f t="shared" si="8"/>
        <v>ER3</v>
      </c>
      <c r="D60" s="12" t="str">
        <f t="shared" si="9"/>
        <v>3</v>
      </c>
      <c r="E60" s="12" t="str">
        <f t="shared" si="10"/>
        <v>R</v>
      </c>
      <c r="F60" s="12">
        <v>4.5700000000000003E-3</v>
      </c>
      <c r="G60" s="12">
        <v>4.5799999999999999E-3</v>
      </c>
      <c r="H60" s="12">
        <v>1.8699999999999999E-3</v>
      </c>
      <c r="I60" s="11" t="s">
        <v>127</v>
      </c>
    </row>
    <row r="61" spans="1:9" x14ac:dyDescent="0.2">
      <c r="A61" t="s">
        <v>117</v>
      </c>
      <c r="B61" t="s">
        <v>88</v>
      </c>
      <c r="C61" t="str">
        <f t="shared" si="8"/>
        <v>FM1</v>
      </c>
      <c r="D61" s="1" t="str">
        <f t="shared" si="9"/>
        <v>1</v>
      </c>
      <c r="E61" s="1" t="str">
        <f t="shared" si="10"/>
        <v>M</v>
      </c>
      <c r="F61" s="1">
        <v>3.81E-3</v>
      </c>
      <c r="G61" s="1">
        <v>6.94E-3</v>
      </c>
    </row>
    <row r="62" spans="1:9" x14ac:dyDescent="0.2">
      <c r="A62" t="s">
        <v>117</v>
      </c>
      <c r="B62" t="s">
        <v>110</v>
      </c>
      <c r="C62" t="str">
        <f t="shared" si="8"/>
        <v>FR1</v>
      </c>
      <c r="D62" s="1" t="str">
        <f t="shared" si="9"/>
        <v>1</v>
      </c>
      <c r="E62" s="1" t="str">
        <f t="shared" si="10"/>
        <v>R</v>
      </c>
      <c r="F62" s="1">
        <v>3.7599999999999999E-3</v>
      </c>
      <c r="G62" s="1">
        <v>5.6600000000000001E-3</v>
      </c>
      <c r="H62" s="1">
        <v>2.9099999999999998E-3</v>
      </c>
    </row>
    <row r="63" spans="1:9" x14ac:dyDescent="0.2">
      <c r="A63" t="s">
        <v>117</v>
      </c>
      <c r="B63" t="s">
        <v>108</v>
      </c>
      <c r="C63" t="str">
        <f t="shared" si="8"/>
        <v>FC1</v>
      </c>
      <c r="D63" s="1" t="str">
        <f t="shared" si="9"/>
        <v>1</v>
      </c>
      <c r="E63" s="1" t="str">
        <f t="shared" si="10"/>
        <v>C</v>
      </c>
      <c r="F63" s="1">
        <v>6.0299999999999998E-3</v>
      </c>
      <c r="G63" s="1">
        <v>3.14E-3</v>
      </c>
      <c r="H63" s="1">
        <v>5.5700000000000003E-3</v>
      </c>
    </row>
    <row r="64" spans="1:9" x14ac:dyDescent="0.2">
      <c r="A64" t="s">
        <v>117</v>
      </c>
      <c r="B64" t="s">
        <v>107</v>
      </c>
      <c r="C64" t="str">
        <f t="shared" si="8"/>
        <v>FC3</v>
      </c>
      <c r="D64" s="1" t="str">
        <f t="shared" si="9"/>
        <v>3</v>
      </c>
      <c r="E64" s="1" t="str">
        <f t="shared" si="10"/>
        <v>C</v>
      </c>
      <c r="F64" s="1">
        <v>3.3500000000000001E-3</v>
      </c>
      <c r="G64" s="1">
        <v>6.9100000000000003E-3</v>
      </c>
      <c r="H64" s="1">
        <v>6.4999999999999997E-4</v>
      </c>
    </row>
    <row r="65" spans="1:8" x14ac:dyDescent="0.2">
      <c r="A65" t="s">
        <v>117</v>
      </c>
      <c r="B65" t="s">
        <v>114</v>
      </c>
      <c r="C65" t="str">
        <f t="shared" si="8"/>
        <v>FR3</v>
      </c>
      <c r="D65" s="1" t="str">
        <f t="shared" si="9"/>
        <v>3</v>
      </c>
      <c r="E65" s="1" t="str">
        <f t="shared" si="10"/>
        <v>R</v>
      </c>
      <c r="F65" s="1">
        <v>3.14E-3</v>
      </c>
      <c r="G65" s="1">
        <v>5.5100000000000001E-3</v>
      </c>
      <c r="H65" s="1">
        <v>3.9699999999999996E-3</v>
      </c>
    </row>
    <row r="66" spans="1:8" x14ac:dyDescent="0.2">
      <c r="A66" t="s">
        <v>117</v>
      </c>
      <c r="B66" t="s">
        <v>92</v>
      </c>
      <c r="C66" t="str">
        <f t="shared" si="8"/>
        <v>FM2</v>
      </c>
      <c r="D66" s="1" t="str">
        <f t="shared" si="9"/>
        <v>2</v>
      </c>
      <c r="E66" s="1" t="str">
        <f t="shared" si="10"/>
        <v>M</v>
      </c>
      <c r="F66" s="1">
        <v>5.4099999999999999E-3</v>
      </c>
      <c r="G66" s="1">
        <v>6.6699999999999997E-3</v>
      </c>
      <c r="H66" s="1">
        <v>1.3600000000000001E-3</v>
      </c>
    </row>
    <row r="67" spans="1:8" x14ac:dyDescent="0.2">
      <c r="A67" t="s">
        <v>117</v>
      </c>
      <c r="B67" t="s">
        <v>113</v>
      </c>
      <c r="C67" t="str">
        <f t="shared" si="8"/>
        <v>FJ2</v>
      </c>
      <c r="D67" s="1" t="str">
        <f t="shared" si="9"/>
        <v>2</v>
      </c>
      <c r="E67" s="1" t="str">
        <f t="shared" si="10"/>
        <v>J</v>
      </c>
      <c r="F67" s="1">
        <v>1.9300000000000001E-3</v>
      </c>
      <c r="G67" s="1">
        <v>7.0699999999999999E-3</v>
      </c>
    </row>
    <row r="68" spans="1:8" x14ac:dyDescent="0.2">
      <c r="A68" t="s">
        <v>117</v>
      </c>
      <c r="B68" t="s">
        <v>111</v>
      </c>
      <c r="C68" t="str">
        <f t="shared" si="8"/>
        <v>FR2</v>
      </c>
      <c r="D68" s="1" t="str">
        <f t="shared" si="9"/>
        <v>2</v>
      </c>
      <c r="E68" s="1" t="str">
        <f t="shared" si="10"/>
        <v>R</v>
      </c>
      <c r="F68" s="1">
        <v>4.4299999999999999E-3</v>
      </c>
      <c r="G68" s="1">
        <v>8.1700000000000002E-3</v>
      </c>
      <c r="H68" s="1">
        <v>2.7999999999999998E-4</v>
      </c>
    </row>
    <row r="69" spans="1:8" x14ac:dyDescent="0.2">
      <c r="A69" t="s">
        <v>117</v>
      </c>
      <c r="B69" t="s">
        <v>102</v>
      </c>
      <c r="C69" t="str">
        <f t="shared" si="8"/>
        <v>FM3</v>
      </c>
      <c r="D69" s="1" t="str">
        <f t="shared" si="9"/>
        <v>3</v>
      </c>
      <c r="E69" s="1" t="str">
        <f t="shared" si="10"/>
        <v>M</v>
      </c>
      <c r="F69" s="1">
        <v>3.96E-3</v>
      </c>
      <c r="G69" s="1">
        <v>5.8100000000000001E-3</v>
      </c>
      <c r="H69" s="1">
        <v>9.7999999999999997E-4</v>
      </c>
    </row>
    <row r="70" spans="1:8" x14ac:dyDescent="0.2">
      <c r="A70" t="s">
        <v>117</v>
      </c>
      <c r="B70" t="s">
        <v>86</v>
      </c>
      <c r="C70" t="str">
        <f t="shared" si="8"/>
        <v>FC2</v>
      </c>
      <c r="D70" s="1" t="str">
        <f t="shared" si="9"/>
        <v>2</v>
      </c>
      <c r="E70" s="1" t="str">
        <f t="shared" si="10"/>
        <v>C</v>
      </c>
      <c r="F70" s="1">
        <v>3.9699999999999996E-3</v>
      </c>
      <c r="G70" s="1">
        <v>6.4900000000000001E-3</v>
      </c>
    </row>
    <row r="71" spans="1:8" x14ac:dyDescent="0.2">
      <c r="A71" t="s">
        <v>117</v>
      </c>
      <c r="B71" t="s">
        <v>109</v>
      </c>
      <c r="C71" t="str">
        <f t="shared" si="8"/>
        <v>FJ3</v>
      </c>
      <c r="D71" s="1" t="str">
        <f t="shared" si="9"/>
        <v>3</v>
      </c>
      <c r="E71" s="1" t="str">
        <f t="shared" si="10"/>
        <v>J</v>
      </c>
      <c r="F71" s="1">
        <v>2.3900000000000002E-3</v>
      </c>
      <c r="G71" s="1">
        <v>3.9699999999999996E-3</v>
      </c>
      <c r="H71" s="1">
        <v>3.8500000000000001E-3</v>
      </c>
    </row>
    <row r="72" spans="1:8" s="11" customFormat="1" x14ac:dyDescent="0.2">
      <c r="A72" s="11" t="s">
        <v>117</v>
      </c>
      <c r="B72" s="11" t="s">
        <v>106</v>
      </c>
      <c r="C72" s="11" t="str">
        <f t="shared" si="8"/>
        <v>FJ1</v>
      </c>
      <c r="D72" s="12" t="str">
        <f t="shared" si="9"/>
        <v>1</v>
      </c>
      <c r="E72" s="12" t="str">
        <f t="shared" si="10"/>
        <v>J</v>
      </c>
      <c r="F72" s="12">
        <v>1.25E-3</v>
      </c>
      <c r="G72" s="12">
        <v>6.0699999999999999E-3</v>
      </c>
      <c r="H72" s="12"/>
    </row>
    <row r="73" spans="1:8" x14ac:dyDescent="0.2">
      <c r="A73" t="s">
        <v>131</v>
      </c>
      <c r="B73" t="s">
        <v>113</v>
      </c>
      <c r="C73" t="str">
        <f t="shared" si="8"/>
        <v>GJ2</v>
      </c>
      <c r="D73" s="1" t="str">
        <f t="shared" si="9"/>
        <v>2</v>
      </c>
      <c r="E73" s="1" t="s">
        <v>134</v>
      </c>
      <c r="G73" s="1">
        <v>2.0100000000000001E-3</v>
      </c>
      <c r="H73" s="1">
        <v>8.7000000000000001E-4</v>
      </c>
    </row>
    <row r="74" spans="1:8" x14ac:dyDescent="0.2">
      <c r="A74" t="s">
        <v>131</v>
      </c>
      <c r="B74" t="s">
        <v>107</v>
      </c>
      <c r="C74" t="str">
        <f t="shared" si="8"/>
        <v>GC3</v>
      </c>
      <c r="D74" s="1" t="str">
        <f t="shared" si="9"/>
        <v>3</v>
      </c>
      <c r="E74" s="1" t="s">
        <v>63</v>
      </c>
      <c r="G74" s="1">
        <v>3.1099999999999999E-3</v>
      </c>
      <c r="H74" s="1">
        <v>3.7299999999999998E-3</v>
      </c>
    </row>
    <row r="75" spans="1:8" x14ac:dyDescent="0.2">
      <c r="A75" t="s">
        <v>131</v>
      </c>
      <c r="B75" t="s">
        <v>110</v>
      </c>
      <c r="C75" t="str">
        <f t="shared" si="8"/>
        <v>GR1</v>
      </c>
      <c r="D75" s="1" t="str">
        <f t="shared" si="9"/>
        <v>1</v>
      </c>
      <c r="E75" s="1" t="s">
        <v>135</v>
      </c>
      <c r="G75" s="1">
        <v>7.5399999999999998E-3</v>
      </c>
      <c r="H75" s="1">
        <v>7.5000000000000002E-4</v>
      </c>
    </row>
    <row r="76" spans="1:8" x14ac:dyDescent="0.2">
      <c r="A76" t="s">
        <v>131</v>
      </c>
      <c r="B76" t="s">
        <v>88</v>
      </c>
      <c r="C76" t="str">
        <f t="shared" si="8"/>
        <v>GM1</v>
      </c>
      <c r="D76" s="1" t="str">
        <f t="shared" si="9"/>
        <v>1</v>
      </c>
      <c r="E76" s="1" t="s">
        <v>124</v>
      </c>
      <c r="G76" s="1">
        <v>4.62E-3</v>
      </c>
      <c r="H76" s="1">
        <v>4.0000000000000002E-4</v>
      </c>
    </row>
    <row r="77" spans="1:8" x14ac:dyDescent="0.2">
      <c r="A77" t="s">
        <v>131</v>
      </c>
      <c r="B77" t="s">
        <v>86</v>
      </c>
      <c r="C77" t="str">
        <f t="shared" si="8"/>
        <v>GC2</v>
      </c>
      <c r="D77" s="1" t="str">
        <f t="shared" si="9"/>
        <v>2</v>
      </c>
      <c r="E77" s="1" t="s">
        <v>63</v>
      </c>
      <c r="G77" s="1">
        <v>4.3200000000000001E-3</v>
      </c>
    </row>
    <row r="78" spans="1:8" x14ac:dyDescent="0.2">
      <c r="A78" t="s">
        <v>131</v>
      </c>
      <c r="B78" t="s">
        <v>106</v>
      </c>
      <c r="C78" t="str">
        <f t="shared" si="8"/>
        <v>GJ1</v>
      </c>
      <c r="D78" s="1" t="str">
        <f t="shared" si="9"/>
        <v>1</v>
      </c>
      <c r="E78" s="1" t="s">
        <v>134</v>
      </c>
      <c r="G78" s="1">
        <v>7.9299999999999995E-3</v>
      </c>
      <c r="H78" s="1">
        <v>8.8000000000000003E-4</v>
      </c>
    </row>
    <row r="79" spans="1:8" x14ac:dyDescent="0.2">
      <c r="A79" t="s">
        <v>131</v>
      </c>
      <c r="B79" t="s">
        <v>108</v>
      </c>
      <c r="C79" t="str">
        <f t="shared" si="8"/>
        <v>GC1</v>
      </c>
      <c r="D79" s="1" t="str">
        <f t="shared" si="9"/>
        <v>1</v>
      </c>
      <c r="E79" s="1" t="s">
        <v>63</v>
      </c>
      <c r="G79" s="1">
        <v>3.7499999999999999E-3</v>
      </c>
      <c r="H79" s="1">
        <v>3.1700000000000001E-3</v>
      </c>
    </row>
    <row r="80" spans="1:8" x14ac:dyDescent="0.2">
      <c r="A80" t="s">
        <v>131</v>
      </c>
      <c r="B80" t="s">
        <v>102</v>
      </c>
      <c r="C80" t="str">
        <f t="shared" si="8"/>
        <v>GM3</v>
      </c>
      <c r="D80" s="1" t="str">
        <f t="shared" si="9"/>
        <v>3</v>
      </c>
      <c r="E80" s="1" t="s">
        <v>124</v>
      </c>
      <c r="G80" s="1">
        <v>6.4900000000000001E-3</v>
      </c>
      <c r="H80" s="1">
        <v>7.5000000000000002E-4</v>
      </c>
    </row>
    <row r="81" spans="1:8" x14ac:dyDescent="0.2">
      <c r="A81" t="s">
        <v>131</v>
      </c>
      <c r="B81" t="s">
        <v>111</v>
      </c>
      <c r="C81" t="str">
        <f t="shared" si="8"/>
        <v>GR2</v>
      </c>
      <c r="D81" s="1" t="str">
        <f t="shared" si="9"/>
        <v>2</v>
      </c>
      <c r="E81" s="1" t="s">
        <v>135</v>
      </c>
      <c r="G81" s="1">
        <v>6.2500000000000003E-3</v>
      </c>
    </row>
    <row r="82" spans="1:8" x14ac:dyDescent="0.2">
      <c r="A82" t="s">
        <v>131</v>
      </c>
      <c r="B82" t="s">
        <v>114</v>
      </c>
      <c r="C82" t="str">
        <f t="shared" si="8"/>
        <v>GR3</v>
      </c>
      <c r="D82" s="1" t="str">
        <f t="shared" si="9"/>
        <v>3</v>
      </c>
      <c r="E82" s="1" t="s">
        <v>135</v>
      </c>
      <c r="G82" s="1">
        <v>4.1099999999999999E-3</v>
      </c>
      <c r="H82" s="1">
        <v>1.4599999999999999E-3</v>
      </c>
    </row>
    <row r="83" spans="1:8" x14ac:dyDescent="0.2">
      <c r="A83" t="s">
        <v>131</v>
      </c>
      <c r="B83" t="s">
        <v>92</v>
      </c>
      <c r="C83" t="str">
        <f t="shared" si="8"/>
        <v>GM2</v>
      </c>
      <c r="D83" s="1" t="str">
        <f t="shared" si="9"/>
        <v>2</v>
      </c>
      <c r="E83" s="1" t="s">
        <v>124</v>
      </c>
      <c r="G83" s="1">
        <v>6.2899999999999996E-3</v>
      </c>
    </row>
    <row r="84" spans="1:8" x14ac:dyDescent="0.2">
      <c r="A84" t="s">
        <v>131</v>
      </c>
      <c r="B84" t="s">
        <v>109</v>
      </c>
      <c r="C84" t="str">
        <f t="shared" si="8"/>
        <v>GJ3</v>
      </c>
      <c r="D84" s="1" t="str">
        <f t="shared" si="9"/>
        <v>3</v>
      </c>
      <c r="E84" s="1" t="s">
        <v>134</v>
      </c>
      <c r="G84" s="1">
        <v>3.31E-3</v>
      </c>
      <c r="H84" s="1">
        <v>1.8500000000000001E-3</v>
      </c>
    </row>
  </sheetData>
  <conditionalFormatting sqref="C1:C1048576">
    <cfRule type="duplicateValues" dxfId="0" priority="1"/>
  </conditionalFormatting>
  <pageMargins left="0.7" right="0.7" top="0.75" bottom="0.75" header="0.3" footer="0.3"/>
  <pageSetup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113FEC-E731-1941-B8CC-124FA42DCA1F}">
  <dimension ref="A1:AL13"/>
  <sheetViews>
    <sheetView zoomScale="160" zoomScaleNormal="160" workbookViewId="0">
      <pane ySplit="1" topLeftCell="A2" activePane="bottomLeft" state="frozen"/>
      <selection pane="bottomLeft" activeCell="D5" sqref="D5"/>
    </sheetView>
    <sheetView topLeftCell="A4" zoomScale="169" workbookViewId="1">
      <selection activeCell="A14" sqref="A14"/>
    </sheetView>
    <sheetView workbookViewId="2"/>
    <sheetView workbookViewId="3"/>
  </sheetViews>
  <sheetFormatPr baseColWidth="10" defaultRowHeight="16" x14ac:dyDescent="0.2"/>
  <cols>
    <col min="1" max="1" width="3.83203125" style="1" bestFit="1" customWidth="1"/>
    <col min="2" max="2" width="7.6640625" style="1" bestFit="1" customWidth="1"/>
    <col min="3" max="3" width="12.5" style="1" bestFit="1" customWidth="1"/>
    <col min="4" max="4" width="11.83203125" style="1" bestFit="1" customWidth="1"/>
    <col min="5" max="5" width="11.33203125" style="1" bestFit="1" customWidth="1"/>
    <col min="6" max="6" width="13.6640625" style="1" bestFit="1" customWidth="1"/>
    <col min="7" max="7" width="13.1640625" style="1" bestFit="1" customWidth="1"/>
    <col min="8" max="8" width="9" style="1" bestFit="1" customWidth="1"/>
    <col min="9" max="9" width="8.1640625" style="1" bestFit="1" customWidth="1"/>
    <col min="10" max="10" width="7.5" style="1" bestFit="1" customWidth="1"/>
    <col min="11" max="11" width="3.83203125" style="1" bestFit="1" customWidth="1"/>
    <col min="12" max="12" width="4" style="13" bestFit="1" customWidth="1"/>
    <col min="13" max="13" width="5.1640625" style="1" bestFit="1" customWidth="1"/>
    <col min="14" max="14" width="4" style="1" bestFit="1" customWidth="1"/>
    <col min="15" max="15" width="5.1640625" style="1" bestFit="1" customWidth="1"/>
    <col min="16" max="16" width="4" style="1" bestFit="1" customWidth="1"/>
    <col min="17" max="17" width="5.1640625" style="1" bestFit="1" customWidth="1"/>
    <col min="18" max="18" width="4" style="1" bestFit="1" customWidth="1"/>
    <col min="19" max="19" width="5.1640625" style="1" bestFit="1" customWidth="1"/>
    <col min="20" max="20" width="4" style="1" bestFit="1" customWidth="1"/>
    <col min="21" max="21" width="5.1640625" style="1" bestFit="1" customWidth="1"/>
    <col min="22" max="22" width="4" style="1" bestFit="1" customWidth="1"/>
    <col min="23" max="23" width="5.1640625" style="1" bestFit="1" customWidth="1"/>
    <col min="24" max="24" width="4" style="1" bestFit="1" customWidth="1"/>
    <col min="25" max="25" width="5.1640625" style="1" bestFit="1" customWidth="1"/>
    <col min="26" max="26" width="4" style="1" bestFit="1" customWidth="1"/>
    <col min="27" max="27" width="5.1640625" style="1" bestFit="1" customWidth="1"/>
    <col min="28" max="28" width="4" style="1" bestFit="1" customWidth="1"/>
    <col min="29" max="29" width="5.1640625" style="1" bestFit="1" customWidth="1"/>
    <col min="30" max="30" width="5" style="1" bestFit="1" customWidth="1"/>
    <col min="31" max="31" width="6.1640625" style="1" bestFit="1" customWidth="1"/>
    <col min="32" max="32" width="5" style="1" bestFit="1" customWidth="1"/>
    <col min="33" max="33" width="6.1640625" style="1" bestFit="1" customWidth="1"/>
    <col min="34" max="34" width="5" style="1" bestFit="1" customWidth="1"/>
    <col min="35" max="35" width="6.1640625" style="1" bestFit="1" customWidth="1"/>
    <col min="36" max="36" width="5" style="1" bestFit="1" customWidth="1"/>
    <col min="37" max="37" width="6.1640625" style="1" bestFit="1" customWidth="1"/>
    <col min="38" max="38" width="5.83203125" style="1" bestFit="1" customWidth="1"/>
    <col min="39" max="16384" width="10.83203125" style="1"/>
  </cols>
  <sheetData>
    <row r="1" spans="1:38" s="7" customFormat="1" x14ac:dyDescent="0.2">
      <c r="A1" s="7" t="s">
        <v>3</v>
      </c>
      <c r="B1" s="7" t="s">
        <v>1</v>
      </c>
      <c r="C1" s="7" t="s">
        <v>60</v>
      </c>
      <c r="D1" s="7" t="s">
        <v>59</v>
      </c>
      <c r="E1" s="7" t="s">
        <v>6</v>
      </c>
      <c r="F1" s="7" t="s">
        <v>7</v>
      </c>
      <c r="G1" s="7" t="s">
        <v>17</v>
      </c>
      <c r="H1" s="7" t="s">
        <v>87</v>
      </c>
      <c r="I1" s="7" t="s">
        <v>89</v>
      </c>
      <c r="J1" s="7" t="s">
        <v>90</v>
      </c>
      <c r="K1" s="7" t="s">
        <v>91</v>
      </c>
      <c r="L1" s="9" t="s">
        <v>9</v>
      </c>
      <c r="M1" s="7" t="s">
        <v>23</v>
      </c>
      <c r="N1" s="7" t="str">
        <f>"s_"&amp;RIGHT(L1,1)+1</f>
        <v>s_2</v>
      </c>
      <c r="O1" s="7" t="str">
        <f>"inf_"&amp;RIGHT(M1,1)+1</f>
        <v>inf_2</v>
      </c>
      <c r="P1" s="7" t="str">
        <f t="shared" ref="P1" si="0">"s_"&amp;RIGHT(N1,1)+1</f>
        <v>s_3</v>
      </c>
      <c r="Q1" s="7" t="str">
        <f t="shared" ref="Q1" si="1">"inf_"&amp;RIGHT(O1,1)+1</f>
        <v>inf_3</v>
      </c>
      <c r="R1" s="7" t="str">
        <f t="shared" ref="R1" si="2">"s_"&amp;RIGHT(P1,1)+1</f>
        <v>s_4</v>
      </c>
      <c r="S1" s="7" t="str">
        <f t="shared" ref="S1" si="3">"inf_"&amp;RIGHT(Q1,1)+1</f>
        <v>inf_4</v>
      </c>
      <c r="T1" s="7" t="str">
        <f t="shared" ref="T1" si="4">"s_"&amp;RIGHT(R1,1)+1</f>
        <v>s_5</v>
      </c>
      <c r="U1" s="7" t="str">
        <f t="shared" ref="U1" si="5">"inf_"&amp;RIGHT(S1,1)+1</f>
        <v>inf_5</v>
      </c>
      <c r="V1" s="7" t="str">
        <f t="shared" ref="V1" si="6">"s_"&amp;RIGHT(T1,1)+1</f>
        <v>s_6</v>
      </c>
      <c r="W1" s="7" t="str">
        <f t="shared" ref="W1" si="7">"inf_"&amp;RIGHT(U1,1)+1</f>
        <v>inf_6</v>
      </c>
      <c r="X1" s="7" t="str">
        <f t="shared" ref="X1" si="8">"s_"&amp;RIGHT(V1,1)+1</f>
        <v>s_7</v>
      </c>
      <c r="Y1" s="7" t="str">
        <f t="shared" ref="Y1" si="9">"inf_"&amp;RIGHT(W1,1)+1</f>
        <v>inf_7</v>
      </c>
      <c r="Z1" s="7" t="str">
        <f t="shared" ref="Z1" si="10">"s_"&amp;RIGHT(X1,1)+1</f>
        <v>s_8</v>
      </c>
      <c r="AA1" s="7" t="str">
        <f t="shared" ref="AA1" si="11">"inf_"&amp;RIGHT(Y1,1)+1</f>
        <v>inf_8</v>
      </c>
      <c r="AB1" s="7" t="str">
        <f t="shared" ref="AB1" si="12">"s_"&amp;RIGHT(Z1,1)+1</f>
        <v>s_9</v>
      </c>
      <c r="AC1" s="7" t="str">
        <f t="shared" ref="AC1" si="13">"inf_"&amp;RIGHT(AA1,1)+1</f>
        <v>inf_9</v>
      </c>
      <c r="AD1" s="7" t="str">
        <f t="shared" ref="AD1" si="14">"s_"&amp;RIGHT(AB1,1)+1</f>
        <v>s_10</v>
      </c>
      <c r="AE1" s="7" t="str">
        <f t="shared" ref="AE1" si="15">"inf_"&amp;RIGHT(AC1,1)+1</f>
        <v>inf_10</v>
      </c>
      <c r="AF1" s="7" t="s">
        <v>41</v>
      </c>
      <c r="AG1" s="7" t="s">
        <v>42</v>
      </c>
      <c r="AH1" s="7" t="s">
        <v>45</v>
      </c>
      <c r="AI1" s="7" t="s">
        <v>47</v>
      </c>
      <c r="AJ1" s="7" t="s">
        <v>46</v>
      </c>
      <c r="AK1" s="7" t="s">
        <v>48</v>
      </c>
      <c r="AL1" s="7" t="s">
        <v>32</v>
      </c>
    </row>
    <row r="2" spans="1:38" x14ac:dyDescent="0.2">
      <c r="A2" s="1" t="s">
        <v>85</v>
      </c>
      <c r="B2" s="1" t="s">
        <v>86</v>
      </c>
      <c r="C2" s="1">
        <v>1.1979999999999999E-2</v>
      </c>
      <c r="D2" s="1">
        <v>1.0880000000000001E-2</v>
      </c>
      <c r="E2" s="1">
        <v>60.1</v>
      </c>
      <c r="F2" s="1">
        <v>3.903</v>
      </c>
      <c r="G2" s="1">
        <v>7.1</v>
      </c>
      <c r="H2" s="1">
        <v>29.3</v>
      </c>
      <c r="K2" s="1">
        <v>0</v>
      </c>
      <c r="L2" s="13">
        <v>40.1</v>
      </c>
      <c r="N2" s="1">
        <v>33.1</v>
      </c>
      <c r="P2" s="1">
        <v>14.4</v>
      </c>
      <c r="R2" s="1">
        <v>37.1</v>
      </c>
    </row>
    <row r="3" spans="1:38" x14ac:dyDescent="0.2">
      <c r="A3" s="1" t="s">
        <v>85</v>
      </c>
      <c r="B3" s="1" t="s">
        <v>88</v>
      </c>
      <c r="C3" s="1">
        <v>7.5100000000000002E-3</v>
      </c>
      <c r="D3" s="1">
        <v>1.2919999999999999E-2</v>
      </c>
      <c r="E3" s="1">
        <v>48.2</v>
      </c>
      <c r="F3" s="1">
        <v>3.61</v>
      </c>
      <c r="G3" s="1">
        <v>5.8</v>
      </c>
      <c r="H3" s="1">
        <v>26.1</v>
      </c>
      <c r="I3" s="1">
        <v>0</v>
      </c>
      <c r="J3" s="1">
        <v>0</v>
      </c>
      <c r="K3" s="1">
        <v>12</v>
      </c>
      <c r="L3" s="13">
        <v>48.2</v>
      </c>
      <c r="M3" s="1">
        <v>10</v>
      </c>
      <c r="N3" s="1">
        <v>46.3</v>
      </c>
      <c r="O3" s="1">
        <v>21</v>
      </c>
    </row>
    <row r="4" spans="1:38" x14ac:dyDescent="0.2">
      <c r="A4" s="1" t="s">
        <v>85</v>
      </c>
      <c r="B4" s="1" t="s">
        <v>92</v>
      </c>
      <c r="C4" s="1">
        <v>7.6600000000000001E-3</v>
      </c>
      <c r="D4" s="1">
        <v>8.4700000000000001E-3</v>
      </c>
      <c r="E4" s="1">
        <v>41.9</v>
      </c>
      <c r="F4" s="1">
        <v>3.3250000000000002</v>
      </c>
      <c r="G4" s="1">
        <v>5.0999999999999996</v>
      </c>
      <c r="H4" s="1">
        <v>22</v>
      </c>
      <c r="L4" s="13">
        <v>47.9</v>
      </c>
      <c r="N4" s="1">
        <v>20.2</v>
      </c>
    </row>
    <row r="5" spans="1:38" x14ac:dyDescent="0.2">
      <c r="A5" s="1" t="s">
        <v>85</v>
      </c>
      <c r="B5" s="1" t="s">
        <v>106</v>
      </c>
      <c r="C5" s="1">
        <v>1.306E-2</v>
      </c>
      <c r="E5" s="1">
        <v>34.1</v>
      </c>
      <c r="F5" s="1">
        <v>3.835</v>
      </c>
      <c r="G5" s="1">
        <v>4.4000000000000004</v>
      </c>
      <c r="H5" s="1">
        <v>11.3</v>
      </c>
      <c r="K5" s="1">
        <v>23</v>
      </c>
    </row>
    <row r="6" spans="1:38" x14ac:dyDescent="0.2">
      <c r="A6" s="1" t="s">
        <v>85</v>
      </c>
      <c r="B6" s="1" t="s">
        <v>102</v>
      </c>
      <c r="C6" s="1">
        <v>1.193E-2</v>
      </c>
      <c r="E6" s="1">
        <v>53.1</v>
      </c>
      <c r="F6" s="1">
        <v>4.0110000000000001</v>
      </c>
      <c r="G6" s="1">
        <v>5.5</v>
      </c>
      <c r="H6" s="1">
        <v>29.2</v>
      </c>
      <c r="K6" s="1">
        <v>21</v>
      </c>
    </row>
    <row r="7" spans="1:38" x14ac:dyDescent="0.2">
      <c r="A7" s="1" t="s">
        <v>85</v>
      </c>
      <c r="B7" s="1" t="s">
        <v>107</v>
      </c>
      <c r="C7" s="1">
        <v>1.498E-2</v>
      </c>
      <c r="E7" s="1">
        <v>60.1</v>
      </c>
      <c r="F7" s="1">
        <v>4.3120000000000003</v>
      </c>
      <c r="G7" s="1">
        <v>7.6</v>
      </c>
      <c r="H7" s="1">
        <v>31.3</v>
      </c>
      <c r="K7" s="1">
        <v>0</v>
      </c>
    </row>
    <row r="8" spans="1:38" x14ac:dyDescent="0.2">
      <c r="A8" s="1" t="s">
        <v>85</v>
      </c>
      <c r="B8" s="1" t="s">
        <v>108</v>
      </c>
      <c r="C8" s="1">
        <v>1.9720000000000001E-2</v>
      </c>
      <c r="D8" s="1">
        <v>1.3600000000000001E-3</v>
      </c>
      <c r="E8" s="1">
        <v>59.9</v>
      </c>
      <c r="F8" s="1">
        <v>4.5430000000000001</v>
      </c>
      <c r="G8" s="1">
        <v>5.5</v>
      </c>
      <c r="H8" s="1">
        <v>32</v>
      </c>
      <c r="L8" s="13">
        <v>20.399999999999999</v>
      </c>
      <c r="N8" s="1">
        <v>11.4</v>
      </c>
    </row>
    <row r="9" spans="1:38" x14ac:dyDescent="0.2">
      <c r="A9" s="1" t="s">
        <v>85</v>
      </c>
      <c r="B9" s="1" t="s">
        <v>109</v>
      </c>
      <c r="C9" s="1">
        <v>1.538E-2</v>
      </c>
      <c r="D9" s="1">
        <v>8.0999999999999996E-3</v>
      </c>
      <c r="E9" s="1">
        <v>46</v>
      </c>
      <c r="F9" s="1">
        <v>3.45</v>
      </c>
      <c r="G9" s="1">
        <v>6.6</v>
      </c>
      <c r="H9" s="1">
        <v>20.9</v>
      </c>
      <c r="K9" s="1">
        <v>23</v>
      </c>
      <c r="L9" s="13">
        <v>11.1</v>
      </c>
      <c r="M9" s="1">
        <v>4</v>
      </c>
      <c r="N9" s="1">
        <v>39.6</v>
      </c>
      <c r="O9" s="1">
        <v>26</v>
      </c>
    </row>
    <row r="10" spans="1:38" x14ac:dyDescent="0.2">
      <c r="A10" s="1" t="s">
        <v>85</v>
      </c>
      <c r="B10" s="1" t="s">
        <v>110</v>
      </c>
      <c r="C10" s="1">
        <f>0.02147-0.007</f>
        <v>1.447E-2</v>
      </c>
      <c r="E10" s="1">
        <v>47</v>
      </c>
      <c r="F10" s="1">
        <v>4.3209999999999997</v>
      </c>
      <c r="G10" s="1">
        <v>7.6</v>
      </c>
      <c r="H10" s="1">
        <v>26</v>
      </c>
    </row>
    <row r="11" spans="1:38" x14ac:dyDescent="0.2">
      <c r="A11" s="1" t="s">
        <v>85</v>
      </c>
      <c r="B11" s="1" t="s">
        <v>111</v>
      </c>
      <c r="C11" s="1">
        <f>0.03236-0.007</f>
        <v>2.5360000000000001E-2</v>
      </c>
      <c r="E11" s="1">
        <v>43.2</v>
      </c>
      <c r="F11" s="1">
        <v>4.359</v>
      </c>
      <c r="G11" s="1">
        <v>7.9</v>
      </c>
      <c r="H11" s="1">
        <v>19.7</v>
      </c>
      <c r="L11" s="13">
        <v>39.700000000000003</v>
      </c>
      <c r="N11" s="1">
        <v>31.4</v>
      </c>
      <c r="P11" s="1">
        <v>26.5</v>
      </c>
    </row>
    <row r="12" spans="1:38" x14ac:dyDescent="0.2">
      <c r="A12" s="1" t="s">
        <v>85</v>
      </c>
      <c r="B12" s="1" t="s">
        <v>113</v>
      </c>
      <c r="C12" s="1">
        <f>0.01374-0.007</f>
        <v>6.7400000000000003E-3</v>
      </c>
      <c r="D12" s="1">
        <f>0.01415-0.007</f>
        <v>7.1499999999999992E-3</v>
      </c>
      <c r="E12" s="1">
        <v>37.1</v>
      </c>
      <c r="F12" s="1">
        <v>3.3769999999999998</v>
      </c>
      <c r="G12" s="1">
        <v>6.5</v>
      </c>
      <c r="H12" s="1">
        <v>19</v>
      </c>
      <c r="K12" s="1">
        <v>10</v>
      </c>
      <c r="L12" s="13">
        <v>26.5</v>
      </c>
      <c r="M12" s="1">
        <v>15</v>
      </c>
    </row>
    <row r="13" spans="1:38" x14ac:dyDescent="0.2">
      <c r="A13" s="1" t="s">
        <v>85</v>
      </c>
      <c r="B13" s="1" t="s">
        <v>114</v>
      </c>
      <c r="C13" s="1">
        <f>0.02417-0.007</f>
        <v>1.7170000000000001E-2</v>
      </c>
      <c r="D13" s="1">
        <f>0.01492-0.007</f>
        <v>7.92E-3</v>
      </c>
      <c r="E13" s="1">
        <v>11.5</v>
      </c>
      <c r="F13" s="1">
        <v>3.34</v>
      </c>
      <c r="G13" s="1">
        <v>4.8</v>
      </c>
      <c r="H13" s="1">
        <v>10.5</v>
      </c>
      <c r="L13" s="13">
        <v>10.3</v>
      </c>
      <c r="N13" s="1">
        <v>3.7</v>
      </c>
    </row>
  </sheetData>
  <pageMargins left="0.7" right="0.7" top="0.75" bottom="0.75" header="0.3" footer="0.3"/>
  <pageSetup orientation="portrait" horizontalDpi="0" verticalDpi="0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679E81-31BE-E24F-9AB9-7DB025F88B9D}">
  <dimension ref="A1:AM13"/>
  <sheetViews>
    <sheetView zoomScale="160" zoomScaleNormal="160" workbookViewId="0">
      <selection sqref="A1:XFD1"/>
    </sheetView>
    <sheetView workbookViewId="1">
      <selection activeCell="D10" sqref="D10"/>
    </sheetView>
    <sheetView workbookViewId="2"/>
    <sheetView workbookViewId="3"/>
  </sheetViews>
  <sheetFormatPr baseColWidth="10" defaultRowHeight="16" x14ac:dyDescent="0.2"/>
  <cols>
    <col min="1" max="1" width="3.83203125" bestFit="1" customWidth="1"/>
    <col min="2" max="2" width="7.6640625" bestFit="1" customWidth="1"/>
    <col min="3" max="3" width="12.5" bestFit="1" customWidth="1"/>
    <col min="4" max="4" width="11.83203125" bestFit="1" customWidth="1"/>
    <col min="5" max="5" width="11.33203125" bestFit="1" customWidth="1"/>
    <col min="6" max="6" width="13.6640625" bestFit="1" customWidth="1"/>
    <col min="7" max="7" width="13.1640625" bestFit="1" customWidth="1"/>
    <col min="8" max="8" width="9" bestFit="1" customWidth="1"/>
    <col min="9" max="9" width="9" customWidth="1"/>
    <col min="10" max="10" width="8.1640625" bestFit="1" customWidth="1"/>
    <col min="11" max="11" width="7.5" bestFit="1" customWidth="1"/>
    <col min="12" max="12" width="3.83203125" bestFit="1" customWidth="1"/>
    <col min="13" max="13" width="4" style="14" bestFit="1" customWidth="1"/>
    <col min="14" max="17" width="5.1640625" bestFit="1" customWidth="1"/>
  </cols>
  <sheetData>
    <row r="1" spans="1:39" s="7" customFormat="1" x14ac:dyDescent="0.2">
      <c r="A1" s="7" t="s">
        <v>3</v>
      </c>
      <c r="B1" s="7" t="s">
        <v>1</v>
      </c>
      <c r="C1" s="7" t="s">
        <v>60</v>
      </c>
      <c r="D1" s="7" t="s">
        <v>59</v>
      </c>
      <c r="E1" s="7" t="s">
        <v>6</v>
      </c>
      <c r="F1" s="7" t="s">
        <v>7</v>
      </c>
      <c r="G1" s="7" t="s">
        <v>17</v>
      </c>
      <c r="H1" s="7" t="s">
        <v>87</v>
      </c>
      <c r="I1" s="7" t="s">
        <v>125</v>
      </c>
      <c r="J1" s="7" t="s">
        <v>89</v>
      </c>
      <c r="K1" s="7" t="s">
        <v>90</v>
      </c>
      <c r="L1" s="7" t="s">
        <v>91</v>
      </c>
      <c r="M1" s="9" t="s">
        <v>9</v>
      </c>
      <c r="N1" s="7" t="s">
        <v>23</v>
      </c>
      <c r="O1" s="7" t="str">
        <f>"s_"&amp;RIGHT(M1,1)+1</f>
        <v>s_2</v>
      </c>
      <c r="P1" s="7" t="str">
        <f>"inf_"&amp;RIGHT(N1,1)+1</f>
        <v>inf_2</v>
      </c>
      <c r="Q1" s="7" t="str">
        <f t="shared" ref="Q1" si="0">"s_"&amp;RIGHT(O1,1)+1</f>
        <v>s_3</v>
      </c>
      <c r="R1" s="7" t="str">
        <f t="shared" ref="R1" si="1">"inf_"&amp;RIGHT(P1,1)+1</f>
        <v>inf_3</v>
      </c>
      <c r="S1" s="7" t="str">
        <f t="shared" ref="S1" si="2">"s_"&amp;RIGHT(Q1,1)+1</f>
        <v>s_4</v>
      </c>
      <c r="T1" s="7" t="str">
        <f t="shared" ref="T1" si="3">"inf_"&amp;RIGHT(R1,1)+1</f>
        <v>inf_4</v>
      </c>
      <c r="U1" s="7" t="str">
        <f t="shared" ref="U1" si="4">"s_"&amp;RIGHT(S1,1)+1</f>
        <v>s_5</v>
      </c>
      <c r="V1" s="7" t="str">
        <f t="shared" ref="V1" si="5">"inf_"&amp;RIGHT(T1,1)+1</f>
        <v>inf_5</v>
      </c>
      <c r="W1" s="7" t="str">
        <f t="shared" ref="W1" si="6">"s_"&amp;RIGHT(U1,1)+1</f>
        <v>s_6</v>
      </c>
      <c r="X1" s="7" t="str">
        <f t="shared" ref="X1" si="7">"inf_"&amp;RIGHT(V1,1)+1</f>
        <v>inf_6</v>
      </c>
      <c r="Y1" s="7" t="str">
        <f t="shared" ref="Y1" si="8">"s_"&amp;RIGHT(W1,1)+1</f>
        <v>s_7</v>
      </c>
      <c r="Z1" s="7" t="str">
        <f t="shared" ref="Z1" si="9">"inf_"&amp;RIGHT(X1,1)+1</f>
        <v>inf_7</v>
      </c>
      <c r="AA1" s="7" t="str">
        <f t="shared" ref="AA1" si="10">"s_"&amp;RIGHT(Y1,1)+1</f>
        <v>s_8</v>
      </c>
      <c r="AB1" s="7" t="str">
        <f t="shared" ref="AB1" si="11">"inf_"&amp;RIGHT(Z1,1)+1</f>
        <v>inf_8</v>
      </c>
      <c r="AC1" s="7" t="str">
        <f t="shared" ref="AC1" si="12">"s_"&amp;RIGHT(AA1,1)+1</f>
        <v>s_9</v>
      </c>
      <c r="AD1" s="7" t="str">
        <f t="shared" ref="AD1" si="13">"inf_"&amp;RIGHT(AB1,1)+1</f>
        <v>inf_9</v>
      </c>
      <c r="AE1" s="7" t="str">
        <f t="shared" ref="AE1" si="14">"s_"&amp;RIGHT(AC1,1)+1</f>
        <v>s_10</v>
      </c>
      <c r="AF1" s="7" t="str">
        <f t="shared" ref="AF1" si="15">"inf_"&amp;RIGHT(AD1,1)+1</f>
        <v>inf_10</v>
      </c>
      <c r="AG1" s="7" t="s">
        <v>41</v>
      </c>
      <c r="AH1" s="7" t="s">
        <v>42</v>
      </c>
      <c r="AI1" s="7" t="s">
        <v>45</v>
      </c>
      <c r="AJ1" s="7" t="s">
        <v>47</v>
      </c>
      <c r="AK1" s="7" t="s">
        <v>46</v>
      </c>
      <c r="AL1" s="7" t="s">
        <v>48</v>
      </c>
      <c r="AM1" s="7" t="s">
        <v>32</v>
      </c>
    </row>
    <row r="2" spans="1:39" x14ac:dyDescent="0.2">
      <c r="A2" t="s">
        <v>117</v>
      </c>
      <c r="B2" t="s">
        <v>88</v>
      </c>
      <c r="C2">
        <v>1.512E-2</v>
      </c>
      <c r="E2">
        <v>54.2</v>
      </c>
      <c r="F2">
        <v>3.8809999999999998</v>
      </c>
      <c r="G2">
        <v>10.9</v>
      </c>
      <c r="H2">
        <v>20.399999999999999</v>
      </c>
      <c r="J2">
        <v>0</v>
      </c>
      <c r="K2">
        <v>0</v>
      </c>
      <c r="L2">
        <v>6</v>
      </c>
    </row>
    <row r="3" spans="1:39" x14ac:dyDescent="0.2">
      <c r="A3" t="s">
        <v>117</v>
      </c>
      <c r="B3" t="s">
        <v>119</v>
      </c>
      <c r="C3">
        <v>8.7299999999999999E-3</v>
      </c>
      <c r="D3">
        <v>7.62E-3</v>
      </c>
      <c r="E3">
        <v>49.4</v>
      </c>
      <c r="F3">
        <v>3.399</v>
      </c>
      <c r="G3">
        <v>10.5</v>
      </c>
      <c r="H3">
        <v>17</v>
      </c>
      <c r="J3">
        <v>0</v>
      </c>
      <c r="K3">
        <v>0</v>
      </c>
      <c r="L3">
        <v>22</v>
      </c>
      <c r="M3" s="14">
        <v>48.7</v>
      </c>
      <c r="N3">
        <v>23</v>
      </c>
    </row>
    <row r="4" spans="1:39" x14ac:dyDescent="0.2">
      <c r="A4" t="s">
        <v>117</v>
      </c>
      <c r="B4" t="s">
        <v>118</v>
      </c>
      <c r="C4">
        <v>1.5970000000000002E-2</v>
      </c>
      <c r="E4">
        <v>49.2</v>
      </c>
      <c r="F4">
        <v>3.895</v>
      </c>
      <c r="G4">
        <v>9.8000000000000007</v>
      </c>
      <c r="H4">
        <v>17.399999999999999</v>
      </c>
      <c r="L4">
        <v>0</v>
      </c>
    </row>
    <row r="5" spans="1:39" x14ac:dyDescent="0.2">
      <c r="A5" t="s">
        <v>117</v>
      </c>
      <c r="B5" t="s">
        <v>107</v>
      </c>
      <c r="C5">
        <v>1.332E-2</v>
      </c>
      <c r="D5">
        <v>1.17E-3</v>
      </c>
      <c r="E5">
        <v>54.7</v>
      </c>
      <c r="F5">
        <v>3.7959999999999998</v>
      </c>
      <c r="G5">
        <v>13.2</v>
      </c>
      <c r="H5">
        <v>22.4</v>
      </c>
      <c r="L5">
        <v>0</v>
      </c>
      <c r="M5" s="14">
        <v>21.2</v>
      </c>
      <c r="O5">
        <v>16.2</v>
      </c>
    </row>
    <row r="6" spans="1:39" x14ac:dyDescent="0.2">
      <c r="A6" t="s">
        <v>117</v>
      </c>
      <c r="B6" t="s">
        <v>102</v>
      </c>
      <c r="C6">
        <v>1.4420000000000001E-2</v>
      </c>
      <c r="D6">
        <v>2.5799999999999998E-3</v>
      </c>
      <c r="E6">
        <v>59.1</v>
      </c>
      <c r="F6">
        <v>3.8879999999999999</v>
      </c>
      <c r="G6">
        <v>9.6</v>
      </c>
      <c r="H6">
        <v>17.7</v>
      </c>
      <c r="L6">
        <v>0</v>
      </c>
      <c r="M6" s="14">
        <v>4.8</v>
      </c>
      <c r="O6">
        <v>4.3</v>
      </c>
      <c r="Q6">
        <v>18.5</v>
      </c>
      <c r="S6">
        <v>46.4</v>
      </c>
    </row>
    <row r="7" spans="1:39" x14ac:dyDescent="0.2">
      <c r="A7" t="s">
        <v>117</v>
      </c>
      <c r="B7" t="s">
        <v>108</v>
      </c>
      <c r="C7">
        <v>6.8100000000000001E-3</v>
      </c>
      <c r="D7">
        <v>1.3310000000000001E-2</v>
      </c>
      <c r="E7">
        <v>56.9</v>
      </c>
      <c r="F7">
        <v>3.2040000000000002</v>
      </c>
      <c r="G7">
        <v>7.5</v>
      </c>
      <c r="H7">
        <v>15.1</v>
      </c>
      <c r="L7">
        <v>0</v>
      </c>
      <c r="M7" s="14">
        <v>26.9</v>
      </c>
      <c r="O7">
        <v>53.1</v>
      </c>
      <c r="Q7">
        <v>54.4</v>
      </c>
      <c r="S7">
        <v>50.5</v>
      </c>
    </row>
    <row r="8" spans="1:39" x14ac:dyDescent="0.2">
      <c r="A8" t="s">
        <v>117</v>
      </c>
      <c r="B8" t="s">
        <v>106</v>
      </c>
      <c r="C8">
        <v>1.3089999999999999E-2</v>
      </c>
      <c r="E8">
        <v>25</v>
      </c>
      <c r="F8">
        <v>4.3010000000000002</v>
      </c>
      <c r="G8">
        <v>6.2</v>
      </c>
      <c r="H8">
        <v>13.9</v>
      </c>
      <c r="L8">
        <v>9</v>
      </c>
    </row>
    <row r="9" spans="1:39" x14ac:dyDescent="0.2">
      <c r="A9" t="s">
        <v>117</v>
      </c>
      <c r="B9" t="s">
        <v>114</v>
      </c>
      <c r="C9">
        <v>1.417E-2</v>
      </c>
      <c r="D9">
        <v>9.8400000000000001E-2</v>
      </c>
      <c r="E9">
        <v>57.2</v>
      </c>
      <c r="F9">
        <v>5.0039999999999996</v>
      </c>
      <c r="G9">
        <v>10.5</v>
      </c>
      <c r="H9">
        <v>20</v>
      </c>
      <c r="M9" s="14">
        <v>48</v>
      </c>
      <c r="O9">
        <v>0.8</v>
      </c>
    </row>
    <row r="10" spans="1:39" x14ac:dyDescent="0.2">
      <c r="A10" t="s">
        <v>117</v>
      </c>
      <c r="B10" t="s">
        <v>86</v>
      </c>
      <c r="C10">
        <v>1.5049999999999999E-2</v>
      </c>
      <c r="E10">
        <v>56.5</v>
      </c>
      <c r="F10">
        <v>5.4969999999999999</v>
      </c>
      <c r="G10">
        <v>8.5</v>
      </c>
      <c r="H10">
        <v>22.1</v>
      </c>
    </row>
    <row r="11" spans="1:39" x14ac:dyDescent="0.2">
      <c r="A11" t="s">
        <v>117</v>
      </c>
      <c r="B11" t="s">
        <v>110</v>
      </c>
      <c r="C11">
        <v>1.4319999999999999E-2</v>
      </c>
      <c r="D11">
        <v>7.6499999999999997E-3</v>
      </c>
      <c r="E11">
        <v>57.9</v>
      </c>
      <c r="F11">
        <v>3.2810000000000001</v>
      </c>
      <c r="G11">
        <v>11.6</v>
      </c>
      <c r="H11">
        <v>22.3</v>
      </c>
      <c r="M11" s="14">
        <v>28.1</v>
      </c>
      <c r="O11">
        <v>5.4</v>
      </c>
      <c r="Q11">
        <v>3</v>
      </c>
    </row>
    <row r="12" spans="1:39" x14ac:dyDescent="0.2">
      <c r="A12" t="s">
        <v>117</v>
      </c>
      <c r="B12" t="s">
        <v>92</v>
      </c>
      <c r="C12">
        <v>1.754E-2</v>
      </c>
      <c r="D12">
        <v>3.3800000000000002E-3</v>
      </c>
      <c r="E12">
        <v>42.1</v>
      </c>
      <c r="F12">
        <v>4.0019999999999998</v>
      </c>
      <c r="G12">
        <v>4.8</v>
      </c>
      <c r="H12">
        <v>11.5</v>
      </c>
      <c r="I12">
        <v>18.5</v>
      </c>
      <c r="L12">
        <v>0</v>
      </c>
      <c r="M12" s="14">
        <v>6.5</v>
      </c>
      <c r="O12">
        <v>13.1</v>
      </c>
      <c r="Q12">
        <v>15.3</v>
      </c>
    </row>
    <row r="13" spans="1:39" x14ac:dyDescent="0.2">
      <c r="A13" t="s">
        <v>117</v>
      </c>
      <c r="B13" t="s">
        <v>111</v>
      </c>
      <c r="C13">
        <v>1.883E-2</v>
      </c>
      <c r="D13">
        <v>4.4000000000000002E-4</v>
      </c>
      <c r="E13">
        <v>53.2</v>
      </c>
      <c r="F13">
        <v>4.7050000000000001</v>
      </c>
      <c r="G13">
        <v>13</v>
      </c>
      <c r="H13">
        <v>21.2</v>
      </c>
      <c r="M13" s="14">
        <v>18.5</v>
      </c>
    </row>
  </sheetData>
  <pageMargins left="0.7" right="0.7" top="0.75" bottom="0.75" header="0.3" footer="0.3"/>
  <pageSetup orientation="portrait" horizontalDpi="0" verticalDpi="0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E10EF-3F79-6D4E-AEE3-65BB41A4ED3F}">
  <dimension ref="A1:AM13"/>
  <sheetViews>
    <sheetView tabSelected="1" topLeftCell="F1" zoomScale="150" zoomScaleNormal="150" workbookViewId="0">
      <selection activeCell="C14" sqref="C14"/>
    </sheetView>
    <sheetView workbookViewId="1">
      <selection sqref="A1:AM1"/>
    </sheetView>
    <sheetView workbookViewId="2"/>
    <sheetView workbookViewId="3"/>
  </sheetViews>
  <sheetFormatPr baseColWidth="10" defaultRowHeight="16" x14ac:dyDescent="0.2"/>
  <cols>
    <col min="1" max="1" width="3.83203125" style="1" bestFit="1" customWidth="1"/>
    <col min="2" max="2" width="7.83203125" style="1" bestFit="1" customWidth="1"/>
    <col min="3" max="3" width="12.5" style="1" bestFit="1" customWidth="1"/>
    <col min="4" max="4" width="11.83203125" style="1" bestFit="1" customWidth="1"/>
    <col min="5" max="5" width="11.33203125" style="1" bestFit="1" customWidth="1"/>
    <col min="6" max="6" width="13.6640625" style="1" bestFit="1" customWidth="1"/>
    <col min="7" max="7" width="13.1640625" style="1" bestFit="1" customWidth="1"/>
    <col min="8" max="9" width="9" style="1" bestFit="1" customWidth="1"/>
    <col min="10" max="10" width="8.1640625" style="1" bestFit="1" customWidth="1"/>
    <col min="11" max="11" width="7.5" style="1" bestFit="1" customWidth="1"/>
    <col min="12" max="12" width="3.83203125" style="1" bestFit="1" customWidth="1"/>
    <col min="13" max="13" width="4" style="13" bestFit="1" customWidth="1"/>
    <col min="14" max="14" width="5.1640625" style="1" bestFit="1" customWidth="1"/>
    <col min="15" max="15" width="4" style="1" bestFit="1" customWidth="1"/>
    <col min="16" max="16" width="5.1640625" style="1" bestFit="1" customWidth="1"/>
    <col min="17" max="17" width="4" style="1" bestFit="1" customWidth="1"/>
    <col min="18" max="18" width="5.1640625" style="1" bestFit="1" customWidth="1"/>
    <col min="19" max="19" width="4" style="1" bestFit="1" customWidth="1"/>
    <col min="20" max="20" width="5.1640625" style="1" bestFit="1" customWidth="1"/>
    <col min="21" max="21" width="4" style="1" bestFit="1" customWidth="1"/>
    <col min="22" max="22" width="5.1640625" style="1" bestFit="1" customWidth="1"/>
    <col min="23" max="23" width="4" style="1" bestFit="1" customWidth="1"/>
    <col min="24" max="24" width="5.1640625" style="1" bestFit="1" customWidth="1"/>
    <col min="25" max="25" width="4" style="1" bestFit="1" customWidth="1"/>
    <col min="26" max="26" width="5.1640625" style="1" bestFit="1" customWidth="1"/>
    <col min="27" max="27" width="4" style="1" bestFit="1" customWidth="1"/>
    <col min="28" max="28" width="5.1640625" style="1" bestFit="1" customWidth="1"/>
    <col min="29" max="29" width="4" style="1" bestFit="1" customWidth="1"/>
    <col min="30" max="30" width="5.1640625" style="1" bestFit="1" customWidth="1"/>
    <col min="31" max="31" width="5" style="1" bestFit="1" customWidth="1"/>
    <col min="32" max="32" width="6.1640625" style="1" bestFit="1" customWidth="1"/>
    <col min="33" max="33" width="5" style="1" bestFit="1" customWidth="1"/>
    <col min="34" max="34" width="6.1640625" style="1" bestFit="1" customWidth="1"/>
    <col min="35" max="35" width="5" style="1" bestFit="1" customWidth="1"/>
    <col min="36" max="36" width="6.1640625" style="1" bestFit="1" customWidth="1"/>
    <col min="37" max="37" width="5" style="1" bestFit="1" customWidth="1"/>
    <col min="38" max="38" width="6.1640625" style="1" bestFit="1" customWidth="1"/>
    <col min="39" max="39" width="5.83203125" style="1" bestFit="1" customWidth="1"/>
    <col min="40" max="16384" width="10.83203125" style="1"/>
  </cols>
  <sheetData>
    <row r="1" spans="1:39" s="7" customFormat="1" x14ac:dyDescent="0.2">
      <c r="A1" s="7" t="s">
        <v>3</v>
      </c>
      <c r="B1" s="7" t="s">
        <v>1</v>
      </c>
      <c r="C1" s="7" t="s">
        <v>60</v>
      </c>
      <c r="D1" s="7" t="s">
        <v>59</v>
      </c>
      <c r="E1" s="7" t="s">
        <v>6</v>
      </c>
      <c r="F1" s="7" t="s">
        <v>7</v>
      </c>
      <c r="G1" s="7" t="s">
        <v>17</v>
      </c>
      <c r="H1" s="7" t="s">
        <v>87</v>
      </c>
      <c r="I1" s="7" t="s">
        <v>125</v>
      </c>
      <c r="J1" s="7" t="s">
        <v>89</v>
      </c>
      <c r="K1" s="7" t="s">
        <v>90</v>
      </c>
      <c r="L1" s="7" t="s">
        <v>91</v>
      </c>
      <c r="M1" s="9" t="s">
        <v>9</v>
      </c>
      <c r="N1" s="7" t="s">
        <v>23</v>
      </c>
      <c r="O1" s="7" t="str">
        <f>"s_"&amp;RIGHT(M1,1)+1</f>
        <v>s_2</v>
      </c>
      <c r="P1" s="7" t="str">
        <f>"inf_"&amp;RIGHT(N1,1)+1</f>
        <v>inf_2</v>
      </c>
      <c r="Q1" s="7" t="str">
        <f t="shared" ref="Q1" si="0">"s_"&amp;RIGHT(O1,1)+1</f>
        <v>s_3</v>
      </c>
      <c r="R1" s="7" t="str">
        <f t="shared" ref="R1" si="1">"inf_"&amp;RIGHT(P1,1)+1</f>
        <v>inf_3</v>
      </c>
      <c r="S1" s="7" t="str">
        <f t="shared" ref="S1" si="2">"s_"&amp;RIGHT(Q1,1)+1</f>
        <v>s_4</v>
      </c>
      <c r="T1" s="7" t="str">
        <f t="shared" ref="T1" si="3">"inf_"&amp;RIGHT(R1,1)+1</f>
        <v>inf_4</v>
      </c>
      <c r="U1" s="7" t="str">
        <f t="shared" ref="U1" si="4">"s_"&amp;RIGHT(S1,1)+1</f>
        <v>s_5</v>
      </c>
      <c r="V1" s="7" t="str">
        <f t="shared" ref="V1" si="5">"inf_"&amp;RIGHT(T1,1)+1</f>
        <v>inf_5</v>
      </c>
      <c r="W1" s="7" t="str">
        <f t="shared" ref="W1" si="6">"s_"&amp;RIGHT(U1,1)+1</f>
        <v>s_6</v>
      </c>
      <c r="X1" s="7" t="str">
        <f t="shared" ref="X1" si="7">"inf_"&amp;RIGHT(V1,1)+1</f>
        <v>inf_6</v>
      </c>
      <c r="Y1" s="7" t="str">
        <f t="shared" ref="Y1" si="8">"s_"&amp;RIGHT(W1,1)+1</f>
        <v>s_7</v>
      </c>
      <c r="Z1" s="7" t="str">
        <f t="shared" ref="Z1" si="9">"inf_"&amp;RIGHT(X1,1)+1</f>
        <v>inf_7</v>
      </c>
      <c r="AA1" s="7" t="str">
        <f t="shared" ref="AA1" si="10">"s_"&amp;RIGHT(Y1,1)+1</f>
        <v>s_8</v>
      </c>
      <c r="AB1" s="7" t="str">
        <f t="shared" ref="AB1" si="11">"inf_"&amp;RIGHT(Z1,1)+1</f>
        <v>inf_8</v>
      </c>
      <c r="AC1" s="7" t="str">
        <f t="shared" ref="AC1" si="12">"s_"&amp;RIGHT(AA1,1)+1</f>
        <v>s_9</v>
      </c>
      <c r="AD1" s="7" t="str">
        <f t="shared" ref="AD1" si="13">"inf_"&amp;RIGHT(AB1,1)+1</f>
        <v>inf_9</v>
      </c>
      <c r="AE1" s="7" t="str">
        <f t="shared" ref="AE1" si="14">"s_"&amp;RIGHT(AC1,1)+1</f>
        <v>s_10</v>
      </c>
      <c r="AF1" s="7" t="str">
        <f t="shared" ref="AF1" si="15">"inf_"&amp;RIGHT(AD1,1)+1</f>
        <v>inf_10</v>
      </c>
      <c r="AG1" s="7" t="s">
        <v>41</v>
      </c>
      <c r="AH1" s="7" t="s">
        <v>42</v>
      </c>
      <c r="AI1" s="7" t="s">
        <v>45</v>
      </c>
      <c r="AJ1" s="7" t="s">
        <v>47</v>
      </c>
      <c r="AK1" s="7" t="s">
        <v>46</v>
      </c>
      <c r="AL1" s="7" t="s">
        <v>48</v>
      </c>
      <c r="AM1" s="7" t="s">
        <v>32</v>
      </c>
    </row>
    <row r="2" spans="1:39" x14ac:dyDescent="0.2">
      <c r="A2" s="1" t="s">
        <v>131</v>
      </c>
      <c r="B2" s="1" t="s">
        <v>110</v>
      </c>
      <c r="C2" s="1">
        <v>2.453E-2</v>
      </c>
      <c r="D2" s="1">
        <v>2.5300000000000001E-3</v>
      </c>
      <c r="E2" s="1">
        <v>48.1</v>
      </c>
      <c r="F2" s="1">
        <v>3.972</v>
      </c>
      <c r="G2" s="1">
        <v>6.8</v>
      </c>
      <c r="H2" s="1">
        <v>18.600000000000001</v>
      </c>
      <c r="M2" s="13">
        <v>15.1</v>
      </c>
      <c r="O2" s="1">
        <v>9.3000000000000007</v>
      </c>
    </row>
    <row r="3" spans="1:39" x14ac:dyDescent="0.2">
      <c r="A3" s="1" t="s">
        <v>131</v>
      </c>
      <c r="B3" s="1" t="s">
        <v>109</v>
      </c>
      <c r="C3" s="1">
        <v>7.4200000000000004E-3</v>
      </c>
      <c r="D3" s="1">
        <v>4.13E-3</v>
      </c>
      <c r="E3" s="1">
        <v>15.3</v>
      </c>
      <c r="F3" s="1">
        <v>2.7759999999999998</v>
      </c>
      <c r="G3" s="1">
        <v>7.1</v>
      </c>
      <c r="H3" s="1">
        <v>14.2</v>
      </c>
      <c r="L3" s="1">
        <v>4</v>
      </c>
      <c r="M3" s="13">
        <v>44.2</v>
      </c>
      <c r="N3" s="1">
        <v>12</v>
      </c>
    </row>
    <row r="4" spans="1:39" x14ac:dyDescent="0.2">
      <c r="A4" s="1" t="s">
        <v>131</v>
      </c>
      <c r="B4" s="1" t="s">
        <v>102</v>
      </c>
      <c r="C4" s="1">
        <v>1.702E-2</v>
      </c>
      <c r="D4" s="1">
        <v>1.48E-3</v>
      </c>
      <c r="E4" s="1">
        <v>39.700000000000003</v>
      </c>
      <c r="F4" s="1">
        <v>3.8149999999999999</v>
      </c>
      <c r="G4" s="1">
        <v>3.2</v>
      </c>
      <c r="H4" s="1">
        <v>7.7</v>
      </c>
      <c r="I4" s="1">
        <v>16.5</v>
      </c>
      <c r="L4" s="1">
        <v>10</v>
      </c>
      <c r="M4" s="13">
        <v>9.6</v>
      </c>
      <c r="N4" s="1">
        <v>5</v>
      </c>
      <c r="O4" s="1">
        <v>9.6</v>
      </c>
      <c r="P4" s="1">
        <v>1</v>
      </c>
    </row>
    <row r="5" spans="1:39" x14ac:dyDescent="0.2">
      <c r="A5" s="1" t="s">
        <v>131</v>
      </c>
      <c r="B5" s="1" t="s">
        <v>88</v>
      </c>
      <c r="C5" s="1">
        <v>1.204E-2</v>
      </c>
      <c r="D5" s="1">
        <v>7.5000000000000002E-4</v>
      </c>
      <c r="E5" s="1">
        <v>37.6</v>
      </c>
      <c r="F5" s="1">
        <v>4.0190000000000001</v>
      </c>
      <c r="G5" s="1">
        <v>4.0999999999999996</v>
      </c>
      <c r="H5" s="1">
        <v>5.9</v>
      </c>
      <c r="I5" s="1">
        <v>12.5</v>
      </c>
      <c r="L5" s="1">
        <v>0</v>
      </c>
      <c r="M5" s="13">
        <v>17.2</v>
      </c>
      <c r="N5" s="1">
        <v>0</v>
      </c>
      <c r="O5" s="1">
        <v>27.2</v>
      </c>
      <c r="P5" s="1">
        <v>0</v>
      </c>
    </row>
    <row r="6" spans="1:39" x14ac:dyDescent="0.2">
      <c r="A6" s="1" t="s">
        <v>131</v>
      </c>
      <c r="B6" s="1" t="s">
        <v>107</v>
      </c>
      <c r="C6" s="1">
        <v>7.8399999999999997E-3</v>
      </c>
      <c r="D6" s="1">
        <v>8.8500000000000002E-3</v>
      </c>
      <c r="E6" s="1">
        <v>50.9</v>
      </c>
      <c r="F6" s="1">
        <v>3.7349999999999999</v>
      </c>
      <c r="G6" s="1">
        <v>5.6</v>
      </c>
      <c r="H6" s="1">
        <v>13</v>
      </c>
      <c r="I6" s="1">
        <v>30.1</v>
      </c>
      <c r="M6" s="13">
        <v>46.5</v>
      </c>
      <c r="O6" s="1">
        <v>49.2</v>
      </c>
      <c r="Q6" s="1">
        <v>7.9</v>
      </c>
    </row>
    <row r="7" spans="1:39" x14ac:dyDescent="0.2">
      <c r="A7" s="1" t="s">
        <v>131</v>
      </c>
      <c r="B7" s="1" t="s">
        <v>92</v>
      </c>
      <c r="C7" s="1">
        <v>1.3480000000000001E-2</v>
      </c>
      <c r="D7" s="1" t="s">
        <v>132</v>
      </c>
      <c r="E7" s="1">
        <v>31</v>
      </c>
      <c r="F7" s="1">
        <v>3.512</v>
      </c>
      <c r="G7" s="1">
        <v>5</v>
      </c>
      <c r="H7" s="1">
        <v>12.1</v>
      </c>
      <c r="I7" s="1">
        <v>21.8</v>
      </c>
      <c r="L7" s="1">
        <v>0</v>
      </c>
    </row>
    <row r="8" spans="1:39" x14ac:dyDescent="0.2">
      <c r="A8" s="1" t="s">
        <v>131</v>
      </c>
      <c r="B8" s="1" t="s">
        <v>113</v>
      </c>
      <c r="C8" s="1">
        <v>4.45E-3</v>
      </c>
      <c r="D8" s="1">
        <v>2.0100000000000001E-3</v>
      </c>
      <c r="E8" s="1">
        <v>35</v>
      </c>
      <c r="F8" s="1">
        <v>2.8610000000000002</v>
      </c>
      <c r="G8" s="1">
        <v>5</v>
      </c>
      <c r="H8" s="1">
        <v>11.4</v>
      </c>
      <c r="I8" s="1">
        <v>21.6</v>
      </c>
      <c r="L8" s="1">
        <v>17</v>
      </c>
      <c r="M8" s="13">
        <v>21.6</v>
      </c>
      <c r="N8" s="1">
        <v>12</v>
      </c>
      <c r="O8" s="1">
        <v>11.4</v>
      </c>
      <c r="P8" s="1">
        <v>5</v>
      </c>
    </row>
    <row r="9" spans="1:39" x14ac:dyDescent="0.2">
      <c r="A9" s="1" t="s">
        <v>131</v>
      </c>
      <c r="B9" s="1" t="s">
        <v>114</v>
      </c>
      <c r="C9" s="1">
        <v>1.0279999999999999E-2</v>
      </c>
      <c r="D9" s="1">
        <v>3.4499999999999999E-3</v>
      </c>
      <c r="E9" s="1">
        <v>45.9</v>
      </c>
      <c r="F9" s="1">
        <v>3.6120000000000001</v>
      </c>
      <c r="G9" s="1">
        <v>6.1</v>
      </c>
      <c r="H9" s="1">
        <v>20.8</v>
      </c>
      <c r="M9" s="13">
        <v>26.4</v>
      </c>
    </row>
    <row r="10" spans="1:39" x14ac:dyDescent="0.2">
      <c r="A10" s="1" t="s">
        <v>131</v>
      </c>
      <c r="B10" s="1" t="s">
        <v>108</v>
      </c>
      <c r="C10" s="1">
        <v>7.7299999999999999E-3</v>
      </c>
      <c r="D10" s="1">
        <v>7.3200000000000001E-3</v>
      </c>
      <c r="E10" s="1">
        <v>48.8</v>
      </c>
      <c r="F10" s="1">
        <v>3.1139999999999999</v>
      </c>
      <c r="G10" s="1">
        <v>3.5</v>
      </c>
      <c r="H10" s="1">
        <v>14.9</v>
      </c>
      <c r="I10" s="1">
        <v>20.6</v>
      </c>
      <c r="M10" s="13">
        <v>12.3</v>
      </c>
      <c r="O10" s="1">
        <v>17.600000000000001</v>
      </c>
      <c r="Q10" s="1">
        <v>14.5</v>
      </c>
      <c r="S10" s="1">
        <v>21.1</v>
      </c>
      <c r="U10" s="1">
        <v>23.6</v>
      </c>
      <c r="W10" s="1">
        <v>33.1</v>
      </c>
      <c r="Y10" s="1">
        <v>47.6</v>
      </c>
    </row>
    <row r="11" spans="1:39" x14ac:dyDescent="0.2">
      <c r="A11" s="1" t="s">
        <v>131</v>
      </c>
      <c r="B11" s="1" t="s">
        <v>106</v>
      </c>
      <c r="C11" s="1">
        <v>2.2252000000000001E-2</v>
      </c>
      <c r="D11" s="1">
        <v>2.2499999999999998E-3</v>
      </c>
      <c r="E11" s="1">
        <v>51.2</v>
      </c>
      <c r="F11" s="1">
        <v>3.9220000000000002</v>
      </c>
      <c r="G11" s="1">
        <v>3.8</v>
      </c>
      <c r="H11" s="1">
        <v>10.1</v>
      </c>
      <c r="I11" s="1">
        <v>20.9</v>
      </c>
      <c r="L11" s="1">
        <v>0</v>
      </c>
      <c r="M11" s="13">
        <v>9.5</v>
      </c>
      <c r="N11" s="1">
        <v>0</v>
      </c>
      <c r="O11" s="1">
        <v>24.6</v>
      </c>
      <c r="P11" s="1">
        <v>0</v>
      </c>
    </row>
    <row r="12" spans="1:39" x14ac:dyDescent="0.2">
      <c r="A12" s="1" t="s">
        <v>131</v>
      </c>
      <c r="B12" s="1" t="s">
        <v>86</v>
      </c>
      <c r="C12" s="1">
        <v>9.5099999999999994E-3</v>
      </c>
      <c r="D12" s="1" t="s">
        <v>132</v>
      </c>
      <c r="E12" s="1">
        <v>54.2</v>
      </c>
      <c r="F12" s="1">
        <v>3.343</v>
      </c>
      <c r="G12" s="1">
        <v>4.5</v>
      </c>
      <c r="H12" s="1">
        <v>14.5</v>
      </c>
      <c r="I12" s="1">
        <v>28.8</v>
      </c>
    </row>
    <row r="13" spans="1:39" x14ac:dyDescent="0.2">
      <c r="A13" s="1" t="s">
        <v>131</v>
      </c>
      <c r="B13" s="1" t="s">
        <v>111</v>
      </c>
      <c r="C13" s="1">
        <v>1.47E-2</v>
      </c>
      <c r="E13" s="1">
        <v>17.5</v>
      </c>
      <c r="F13" s="1">
        <v>4.4610000000000003</v>
      </c>
      <c r="G13" s="1">
        <v>5.5</v>
      </c>
      <c r="H13" s="1">
        <v>15</v>
      </c>
    </row>
  </sheetData>
  <pageMargins left="0.7" right="0.7" top="0.75" bottom="0.75" header="0.3" footer="0.3"/>
  <pageSetup orientation="portrait" horizontalDpi="0" verticalDpi="0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27FCE-4C62-724C-A1C9-ED2EF7DF2D4C}">
  <dimension ref="A1:AM11"/>
  <sheetViews>
    <sheetView workbookViewId="0"/>
    <sheetView zoomScale="140" zoomScaleNormal="140" workbookViewId="1">
      <selection activeCell="Q3" sqref="Q3"/>
    </sheetView>
    <sheetView workbookViewId="2"/>
    <sheetView tabSelected="1" zoomScale="183" workbookViewId="3">
      <selection activeCell="C8" sqref="C8"/>
    </sheetView>
  </sheetViews>
  <sheetFormatPr baseColWidth="10" defaultRowHeight="16" x14ac:dyDescent="0.2"/>
  <cols>
    <col min="1" max="1" width="4" style="1" bestFit="1" customWidth="1"/>
    <col min="2" max="2" width="7.83203125" style="1" bestFit="1" customWidth="1"/>
    <col min="3" max="3" width="12.5" style="1" bestFit="1" customWidth="1"/>
    <col min="4" max="4" width="11.83203125" style="1" bestFit="1" customWidth="1"/>
    <col min="5" max="5" width="11.33203125" style="1" bestFit="1" customWidth="1"/>
    <col min="6" max="6" width="13.6640625" style="1" bestFit="1" customWidth="1"/>
    <col min="7" max="7" width="13.33203125" style="1" bestFit="1" customWidth="1"/>
    <col min="8" max="9" width="9.1640625" style="1" bestFit="1" customWidth="1"/>
    <col min="10" max="10" width="8.1640625" style="1" bestFit="1" customWidth="1"/>
    <col min="11" max="11" width="7.5" style="1" bestFit="1" customWidth="1"/>
    <col min="12" max="12" width="3.83203125" style="1" bestFit="1" customWidth="1"/>
    <col min="13" max="13" width="4" style="13" bestFit="1" customWidth="1"/>
    <col min="14" max="14" width="5.1640625" style="1" bestFit="1" customWidth="1"/>
    <col min="15" max="15" width="4" style="1" bestFit="1" customWidth="1"/>
    <col min="16" max="16" width="5.1640625" style="1" bestFit="1" customWidth="1"/>
    <col min="17" max="17" width="4" style="1" bestFit="1" customWidth="1"/>
    <col min="18" max="18" width="5.1640625" style="1" bestFit="1" customWidth="1"/>
    <col min="19" max="19" width="4" style="1" bestFit="1" customWidth="1"/>
    <col min="20" max="20" width="5.1640625" style="1" bestFit="1" customWidth="1"/>
    <col min="21" max="21" width="4" style="1" bestFit="1" customWidth="1"/>
    <col min="22" max="22" width="5.1640625" style="1" bestFit="1" customWidth="1"/>
    <col min="23" max="23" width="4" style="1" bestFit="1" customWidth="1"/>
    <col min="24" max="24" width="5.1640625" style="1" bestFit="1" customWidth="1"/>
    <col min="25" max="25" width="4" style="1" bestFit="1" customWidth="1"/>
    <col min="26" max="26" width="5.1640625" style="1" bestFit="1" customWidth="1"/>
    <col min="27" max="27" width="4" style="1" bestFit="1" customWidth="1"/>
    <col min="28" max="28" width="5.1640625" style="1" bestFit="1" customWidth="1"/>
    <col min="29" max="29" width="4" style="1" bestFit="1" customWidth="1"/>
    <col min="30" max="30" width="5.1640625" style="1" bestFit="1" customWidth="1"/>
    <col min="31" max="31" width="5" style="1" bestFit="1" customWidth="1"/>
    <col min="32" max="32" width="6.1640625" style="1" bestFit="1" customWidth="1"/>
    <col min="33" max="33" width="5" style="1" bestFit="1" customWidth="1"/>
    <col min="34" max="34" width="6.1640625" style="1" bestFit="1" customWidth="1"/>
    <col min="35" max="35" width="5" style="1" bestFit="1" customWidth="1"/>
    <col min="36" max="36" width="6.1640625" style="1" bestFit="1" customWidth="1"/>
    <col min="37" max="37" width="5" style="1" bestFit="1" customWidth="1"/>
    <col min="38" max="38" width="6.1640625" style="1" bestFit="1" customWidth="1"/>
    <col min="39" max="39" width="5.83203125" style="1" bestFit="1" customWidth="1"/>
    <col min="40" max="16384" width="10.83203125" style="1"/>
  </cols>
  <sheetData>
    <row r="1" spans="1:39" x14ac:dyDescent="0.2">
      <c r="A1" s="7" t="s">
        <v>3</v>
      </c>
      <c r="B1" s="7" t="s">
        <v>1</v>
      </c>
      <c r="C1" s="7" t="s">
        <v>60</v>
      </c>
      <c r="D1" s="7" t="s">
        <v>59</v>
      </c>
      <c r="E1" s="7" t="s">
        <v>6</v>
      </c>
      <c r="F1" s="7" t="s">
        <v>7</v>
      </c>
      <c r="G1" s="7" t="s">
        <v>17</v>
      </c>
      <c r="H1" s="7" t="s">
        <v>87</v>
      </c>
      <c r="I1" s="7" t="s">
        <v>125</v>
      </c>
      <c r="J1" s="7" t="s">
        <v>89</v>
      </c>
      <c r="K1" s="7" t="s">
        <v>90</v>
      </c>
      <c r="L1" s="7" t="s">
        <v>91</v>
      </c>
      <c r="M1" s="9" t="s">
        <v>9</v>
      </c>
      <c r="N1" s="7" t="s">
        <v>23</v>
      </c>
      <c r="O1" s="7" t="str">
        <f>"s_"&amp;RIGHT(M1,1)+1</f>
        <v>s_2</v>
      </c>
      <c r="P1" s="7" t="str">
        <f>"inf_"&amp;RIGHT(N1,1)+1</f>
        <v>inf_2</v>
      </c>
      <c r="Q1" s="7" t="str">
        <f t="shared" ref="Q1" si="0">"s_"&amp;RIGHT(O1,1)+1</f>
        <v>s_3</v>
      </c>
      <c r="R1" s="7" t="str">
        <f t="shared" ref="R1" si="1">"inf_"&amp;RIGHT(P1,1)+1</f>
        <v>inf_3</v>
      </c>
      <c r="S1" s="7" t="str">
        <f t="shared" ref="S1" si="2">"s_"&amp;RIGHT(Q1,1)+1</f>
        <v>s_4</v>
      </c>
      <c r="T1" s="7" t="str">
        <f t="shared" ref="T1" si="3">"inf_"&amp;RIGHT(R1,1)+1</f>
        <v>inf_4</v>
      </c>
      <c r="U1" s="7" t="str">
        <f t="shared" ref="U1" si="4">"s_"&amp;RIGHT(S1,1)+1</f>
        <v>s_5</v>
      </c>
      <c r="V1" s="7" t="str">
        <f t="shared" ref="V1" si="5">"inf_"&amp;RIGHT(T1,1)+1</f>
        <v>inf_5</v>
      </c>
      <c r="W1" s="7" t="str">
        <f t="shared" ref="W1" si="6">"s_"&amp;RIGHT(U1,1)+1</f>
        <v>s_6</v>
      </c>
      <c r="X1" s="7" t="str">
        <f t="shared" ref="X1" si="7">"inf_"&amp;RIGHT(V1,1)+1</f>
        <v>inf_6</v>
      </c>
      <c r="Y1" s="7" t="str">
        <f t="shared" ref="Y1" si="8">"s_"&amp;RIGHT(W1,1)+1</f>
        <v>s_7</v>
      </c>
      <c r="Z1" s="7" t="str">
        <f t="shared" ref="Z1" si="9">"inf_"&amp;RIGHT(X1,1)+1</f>
        <v>inf_7</v>
      </c>
      <c r="AA1" s="7" t="str">
        <f t="shared" ref="AA1" si="10">"s_"&amp;RIGHT(Y1,1)+1</f>
        <v>s_8</v>
      </c>
      <c r="AB1" s="7" t="str">
        <f t="shared" ref="AB1" si="11">"inf_"&amp;RIGHT(Z1,1)+1</f>
        <v>inf_8</v>
      </c>
      <c r="AC1" s="7" t="str">
        <f t="shared" ref="AC1" si="12">"s_"&amp;RIGHT(AA1,1)+1</f>
        <v>s_9</v>
      </c>
      <c r="AD1" s="7" t="str">
        <f t="shared" ref="AD1" si="13">"inf_"&amp;RIGHT(AB1,1)+1</f>
        <v>inf_9</v>
      </c>
      <c r="AE1" s="7" t="str">
        <f t="shared" ref="AE1" si="14">"s_"&amp;RIGHT(AC1,1)+1</f>
        <v>s_10</v>
      </c>
      <c r="AF1" s="7" t="str">
        <f t="shared" ref="AF1" si="15">"inf_"&amp;RIGHT(AD1,1)+1</f>
        <v>inf_10</v>
      </c>
      <c r="AG1" s="7" t="s">
        <v>41</v>
      </c>
      <c r="AH1" s="7" t="s">
        <v>42</v>
      </c>
      <c r="AI1" s="7" t="s">
        <v>45</v>
      </c>
      <c r="AJ1" s="7" t="s">
        <v>47</v>
      </c>
      <c r="AK1" s="7" t="s">
        <v>46</v>
      </c>
      <c r="AL1" s="7" t="s">
        <v>48</v>
      </c>
      <c r="AM1" s="7" t="s">
        <v>32</v>
      </c>
    </row>
    <row r="2" spans="1:39" x14ac:dyDescent="0.2">
      <c r="A2" s="1" t="s">
        <v>136</v>
      </c>
      <c r="B2" s="1" t="s">
        <v>86</v>
      </c>
      <c r="C2" s="1">
        <v>5.8399999999999997E-3</v>
      </c>
      <c r="E2" s="1">
        <v>44.5</v>
      </c>
      <c r="F2" s="1">
        <v>3.1709999999999998</v>
      </c>
      <c r="G2" s="1">
        <v>9.3000000000000007</v>
      </c>
      <c r="H2" s="1">
        <v>18.600000000000001</v>
      </c>
      <c r="I2" s="1">
        <v>25.4</v>
      </c>
    </row>
    <row r="3" spans="1:39" x14ac:dyDescent="0.2">
      <c r="A3" s="1" t="s">
        <v>136</v>
      </c>
      <c r="B3" s="1" t="s">
        <v>92</v>
      </c>
      <c r="C3" s="1">
        <v>2.65E-3</v>
      </c>
      <c r="D3" s="1">
        <v>3.5599999999999998E-3</v>
      </c>
      <c r="E3" s="1">
        <v>23.8</v>
      </c>
      <c r="F3" s="1">
        <v>2.2559999999999998</v>
      </c>
      <c r="G3" s="1">
        <v>4.5</v>
      </c>
      <c r="H3" s="1">
        <v>7.4</v>
      </c>
      <c r="I3" s="1">
        <v>13.7</v>
      </c>
      <c r="L3" s="1">
        <v>6</v>
      </c>
      <c r="M3" s="13">
        <v>18.2</v>
      </c>
      <c r="N3" s="1">
        <v>9</v>
      </c>
      <c r="O3" s="1">
        <v>13</v>
      </c>
      <c r="P3" s="1">
        <v>4</v>
      </c>
      <c r="Q3" s="1">
        <v>11.4</v>
      </c>
      <c r="R3" s="1">
        <v>1</v>
      </c>
      <c r="S3" s="1">
        <v>16.100000000000001</v>
      </c>
      <c r="T3" s="1">
        <v>4</v>
      </c>
      <c r="U3" s="1">
        <v>10.7</v>
      </c>
      <c r="V3" s="1">
        <v>1</v>
      </c>
      <c r="W3" s="1">
        <v>7.8</v>
      </c>
      <c r="X3" s="1">
        <v>4</v>
      </c>
    </row>
    <row r="4" spans="1:39" x14ac:dyDescent="0.2">
      <c r="A4" s="1" t="s">
        <v>136</v>
      </c>
      <c r="B4" s="1" t="s">
        <v>110</v>
      </c>
      <c r="C4" s="1">
        <v>6.0899999999999999E-3</v>
      </c>
      <c r="D4" s="1">
        <v>6.7099999999999998E-3</v>
      </c>
      <c r="E4" s="1">
        <v>30.2</v>
      </c>
      <c r="F4" s="1">
        <v>3.3180000000000001</v>
      </c>
      <c r="G4" s="1">
        <v>6.9</v>
      </c>
      <c r="H4" s="1">
        <v>16</v>
      </c>
      <c r="I4" s="1">
        <v>22.9</v>
      </c>
      <c r="M4" s="13">
        <v>38</v>
      </c>
      <c r="O4" s="1">
        <v>9.1999999999999993</v>
      </c>
    </row>
    <row r="5" spans="1:39" x14ac:dyDescent="0.2">
      <c r="A5" s="1" t="s">
        <v>136</v>
      </c>
      <c r="B5" s="1" t="s">
        <v>107</v>
      </c>
      <c r="C5" s="1">
        <v>1.66E-2</v>
      </c>
      <c r="E5" s="1">
        <v>61.8</v>
      </c>
      <c r="F5" s="1">
        <v>3.66</v>
      </c>
      <c r="G5" s="1">
        <v>7.9</v>
      </c>
      <c r="H5" s="1">
        <v>18.2</v>
      </c>
      <c r="I5" s="1">
        <v>40.799999999999997</v>
      </c>
    </row>
    <row r="6" spans="1:39" x14ac:dyDescent="0.2">
      <c r="A6" s="1" t="s">
        <v>136</v>
      </c>
      <c r="B6" s="1" t="s">
        <v>111</v>
      </c>
      <c r="C6" s="1">
        <v>3.8300000000000001E-3</v>
      </c>
      <c r="D6" s="1">
        <v>1.75E-3</v>
      </c>
      <c r="E6" s="1">
        <v>34.5</v>
      </c>
      <c r="F6" s="1">
        <v>2.0499999999999998</v>
      </c>
      <c r="G6" s="1">
        <v>4</v>
      </c>
      <c r="H6" s="1">
        <v>6.6</v>
      </c>
      <c r="I6" s="1">
        <v>21.3</v>
      </c>
      <c r="M6" s="13">
        <v>14.8</v>
      </c>
      <c r="O6" s="1">
        <v>24.6</v>
      </c>
      <c r="Q6" s="1">
        <v>18.100000000000001</v>
      </c>
    </row>
    <row r="7" spans="1:39" x14ac:dyDescent="0.2">
      <c r="A7" s="1" t="s">
        <v>136</v>
      </c>
      <c r="B7" s="1" t="s">
        <v>114</v>
      </c>
      <c r="C7" s="1">
        <v>2.392E-2</v>
      </c>
      <c r="D7" s="1">
        <v>7.2999999999999996E-4</v>
      </c>
      <c r="E7" s="1">
        <v>31.9</v>
      </c>
      <c r="F7" s="1">
        <v>2.66</v>
      </c>
      <c r="G7" s="1">
        <v>8.5</v>
      </c>
      <c r="H7" s="1">
        <v>17.2</v>
      </c>
      <c r="M7" s="13">
        <v>2.1</v>
      </c>
    </row>
    <row r="8" spans="1:39" x14ac:dyDescent="0.2">
      <c r="A8" s="1" t="s">
        <v>136</v>
      </c>
      <c r="B8" s="1" t="s">
        <v>109</v>
      </c>
      <c r="C8" s="1">
        <v>7.6400000000000001E-3</v>
      </c>
      <c r="D8" s="1">
        <v>1.1800000000000001E-3</v>
      </c>
      <c r="E8" s="1">
        <v>38.9</v>
      </c>
      <c r="F8" s="1">
        <v>2.8079999999999998</v>
      </c>
      <c r="G8" s="1">
        <v>13.4</v>
      </c>
      <c r="H8" s="1">
        <v>21.7</v>
      </c>
      <c r="L8" s="1" t="s">
        <v>137</v>
      </c>
      <c r="M8" s="13">
        <v>14.4</v>
      </c>
      <c r="N8" s="1">
        <v>6</v>
      </c>
      <c r="O8" s="1">
        <v>15.7</v>
      </c>
      <c r="P8" s="1">
        <v>9</v>
      </c>
      <c r="Q8" s="1">
        <v>14.4</v>
      </c>
      <c r="R8" s="1">
        <v>0</v>
      </c>
      <c r="S8" s="1">
        <v>7.2</v>
      </c>
      <c r="T8" s="1">
        <v>0</v>
      </c>
      <c r="U8" s="1">
        <v>7.4</v>
      </c>
      <c r="V8" s="1">
        <v>0</v>
      </c>
    </row>
    <row r="9" spans="1:39" x14ac:dyDescent="0.2">
      <c r="A9" s="1" t="s">
        <v>136</v>
      </c>
      <c r="B9" s="1" t="s">
        <v>108</v>
      </c>
      <c r="C9" s="1">
        <v>2.563E-2</v>
      </c>
      <c r="D9" s="1">
        <v>7.6999999999999996E-4</v>
      </c>
      <c r="E9" s="1">
        <v>62.9</v>
      </c>
      <c r="F9" s="1">
        <v>3.6829999999999998</v>
      </c>
      <c r="G9" s="1">
        <v>7.2</v>
      </c>
      <c r="H9" s="1">
        <v>16.5</v>
      </c>
      <c r="I9" s="1">
        <v>20.6</v>
      </c>
      <c r="M9" s="13">
        <v>26.5</v>
      </c>
      <c r="O9" s="1">
        <v>14.3</v>
      </c>
    </row>
    <row r="10" spans="1:39" x14ac:dyDescent="0.2">
      <c r="A10" s="1" t="s">
        <v>136</v>
      </c>
      <c r="B10" s="1" t="s">
        <v>88</v>
      </c>
      <c r="C10" s="1">
        <v>5.4599999999999996E-3</v>
      </c>
      <c r="D10" s="1">
        <v>4.4900000000000001E-3</v>
      </c>
      <c r="E10" s="1">
        <v>31.3</v>
      </c>
      <c r="F10" s="1">
        <v>2.6779999999999999</v>
      </c>
      <c r="G10" s="1">
        <v>6</v>
      </c>
      <c r="H10" s="1">
        <v>9.9</v>
      </c>
      <c r="I10" s="1">
        <v>17.100000000000001</v>
      </c>
      <c r="L10" s="1">
        <v>10</v>
      </c>
      <c r="M10" s="13">
        <v>23.6</v>
      </c>
      <c r="N10" s="1" t="s">
        <v>138</v>
      </c>
      <c r="O10" s="1">
        <v>7.2</v>
      </c>
      <c r="P10" s="1" t="s">
        <v>139</v>
      </c>
    </row>
    <row r="11" spans="1:39" x14ac:dyDescent="0.2">
      <c r="A11" s="1" t="s">
        <v>136</v>
      </c>
      <c r="B11" s="1" t="s">
        <v>113</v>
      </c>
      <c r="C11" s="1">
        <v>1.6490000000000001E-2</v>
      </c>
      <c r="D11" s="1">
        <v>3.8700000000000002E-3</v>
      </c>
      <c r="E11" s="1">
        <v>61.4</v>
      </c>
      <c r="F11" s="1">
        <v>4.2910000000000004</v>
      </c>
      <c r="G11" s="1">
        <v>10.8</v>
      </c>
      <c r="H11" s="1">
        <v>20.100000000000001</v>
      </c>
      <c r="I11" s="1">
        <v>38.1</v>
      </c>
      <c r="L11" s="1">
        <v>38</v>
      </c>
      <c r="M11" s="13">
        <v>36.9</v>
      </c>
      <c r="N11" s="1">
        <v>25</v>
      </c>
      <c r="O11" s="1">
        <v>32.299999999999997</v>
      </c>
      <c r="P11" s="1">
        <v>11</v>
      </c>
    </row>
  </sheetData>
  <pageMargins left="0.7" right="0.7" top="0.75" bottom="0.75" header="0.3" footer="0.3"/>
  <pageSetup orientation="portrait" horizontalDpi="0" verticalDpi="0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0D1810-EDBB-BA4A-8D25-5923165EB8A3}">
  <dimension ref="A1:N270"/>
  <sheetViews>
    <sheetView topLeftCell="A131" zoomScale="171" workbookViewId="0">
      <selection activeCell="C140" sqref="C140"/>
    </sheetView>
    <sheetView tabSelected="1" topLeftCell="C1" zoomScale="175" zoomScaleNormal="400" workbookViewId="1">
      <pane ySplit="1" topLeftCell="A250" activePane="bottomLeft" state="frozen"/>
      <selection activeCell="F1" sqref="F1"/>
      <selection pane="bottomLeft" activeCell="M270" sqref="M270"/>
    </sheetView>
    <sheetView tabSelected="1" topLeftCell="E1" zoomScale="140" zoomScaleNormal="140" workbookViewId="2">
      <pane ySplit="1" topLeftCell="A173" activePane="bottomLeft" state="frozen"/>
      <selection activeCell="E1" sqref="E1"/>
      <selection pane="bottomLeft" activeCell="J183" sqref="J183"/>
    </sheetView>
    <sheetView workbookViewId="3"/>
  </sheetViews>
  <sheetFormatPr baseColWidth="10" defaultRowHeight="16" x14ac:dyDescent="0.2"/>
  <cols>
    <col min="1" max="1" width="4.33203125" style="1" bestFit="1" customWidth="1"/>
    <col min="2" max="2" width="7.1640625" style="1" bestFit="1" customWidth="1"/>
    <col min="3" max="3" width="7.5" style="1" bestFit="1" customWidth="1"/>
    <col min="4" max="4" width="5.6640625" style="1" bestFit="1" customWidth="1"/>
    <col min="5" max="5" width="6.1640625" style="1" bestFit="1" customWidth="1"/>
    <col min="6" max="16384" width="10.83203125" style="1"/>
  </cols>
  <sheetData>
    <row r="1" spans="1:14" x14ac:dyDescent="0.2">
      <c r="A1" s="1" t="s">
        <v>98</v>
      </c>
      <c r="B1" s="1" t="s">
        <v>93</v>
      </c>
      <c r="C1" s="1" t="s">
        <v>101</v>
      </c>
      <c r="D1" s="1" t="s">
        <v>94</v>
      </c>
      <c r="E1" s="1" t="s">
        <v>104</v>
      </c>
      <c r="F1" s="1" t="s">
        <v>95</v>
      </c>
      <c r="G1" s="1" t="s">
        <v>96</v>
      </c>
      <c r="H1" s="1" t="s">
        <v>97</v>
      </c>
      <c r="I1" s="1" t="s">
        <v>99</v>
      </c>
      <c r="J1" s="1" t="s">
        <v>100</v>
      </c>
      <c r="K1" s="1" t="s">
        <v>120</v>
      </c>
      <c r="L1" s="1" t="s">
        <v>121</v>
      </c>
      <c r="M1" s="1" t="s">
        <v>122</v>
      </c>
      <c r="N1" s="1" t="s">
        <v>123</v>
      </c>
    </row>
    <row r="2" spans="1:14" x14ac:dyDescent="0.2">
      <c r="A2" s="1" t="s">
        <v>85</v>
      </c>
      <c r="B2" s="1" t="s">
        <v>92</v>
      </c>
      <c r="C2" s="1" t="s">
        <v>9</v>
      </c>
      <c r="D2" s="1">
        <v>1</v>
      </c>
      <c r="F2" s="1">
        <v>0.5</v>
      </c>
      <c r="G2" s="1">
        <v>3.032</v>
      </c>
      <c r="H2" s="1">
        <v>0</v>
      </c>
      <c r="I2" s="1">
        <v>0</v>
      </c>
      <c r="J2" s="1">
        <v>1</v>
      </c>
    </row>
    <row r="3" spans="1:14" x14ac:dyDescent="0.2">
      <c r="A3" s="1" t="s">
        <v>85</v>
      </c>
      <c r="B3" s="1" t="s">
        <v>92</v>
      </c>
      <c r="C3" s="1" t="s">
        <v>9</v>
      </c>
      <c r="D3" s="1">
        <v>2</v>
      </c>
      <c r="F3" s="1">
        <v>1.5</v>
      </c>
      <c r="G3" s="1">
        <v>5.0789999999999997</v>
      </c>
      <c r="H3" s="1">
        <v>0</v>
      </c>
      <c r="I3" s="1">
        <v>0</v>
      </c>
      <c r="J3" s="1">
        <v>0</v>
      </c>
    </row>
    <row r="4" spans="1:14" x14ac:dyDescent="0.2">
      <c r="A4" s="1" t="s">
        <v>85</v>
      </c>
      <c r="B4" s="1" t="s">
        <v>92</v>
      </c>
      <c r="C4" s="1" t="s">
        <v>9</v>
      </c>
      <c r="D4" s="1">
        <v>3</v>
      </c>
      <c r="F4" s="1">
        <v>0.3</v>
      </c>
      <c r="G4" s="1">
        <v>2.3149999999999999</v>
      </c>
      <c r="H4" s="1">
        <v>0</v>
      </c>
      <c r="I4" s="1">
        <v>0</v>
      </c>
      <c r="J4" s="1">
        <v>0</v>
      </c>
    </row>
    <row r="5" spans="1:14" x14ac:dyDescent="0.2">
      <c r="A5" s="1" t="s">
        <v>85</v>
      </c>
      <c r="B5" s="1" t="s">
        <v>92</v>
      </c>
      <c r="C5" s="1" t="s">
        <v>9</v>
      </c>
      <c r="D5" s="1">
        <v>4</v>
      </c>
      <c r="F5" s="1">
        <v>0.5</v>
      </c>
      <c r="G5" s="1">
        <v>4.8689999999999998</v>
      </c>
      <c r="H5" s="1">
        <v>0</v>
      </c>
    </row>
    <row r="6" spans="1:14" x14ac:dyDescent="0.2">
      <c r="A6" s="1" t="s">
        <v>85</v>
      </c>
      <c r="B6" s="1" t="s">
        <v>92</v>
      </c>
      <c r="C6" s="1" t="s">
        <v>9</v>
      </c>
      <c r="D6" s="1">
        <v>4</v>
      </c>
      <c r="F6" s="1">
        <v>0.5</v>
      </c>
      <c r="G6" s="1">
        <v>5.2409999999999997</v>
      </c>
      <c r="H6" s="1">
        <v>0</v>
      </c>
    </row>
    <row r="7" spans="1:14" x14ac:dyDescent="0.2">
      <c r="A7" s="1" t="s">
        <v>85</v>
      </c>
      <c r="B7" s="1" t="s">
        <v>92</v>
      </c>
      <c r="C7" s="1" t="s">
        <v>103</v>
      </c>
      <c r="D7" s="1">
        <v>1</v>
      </c>
      <c r="E7" s="1">
        <f>22-4.6</f>
        <v>17.399999999999999</v>
      </c>
      <c r="F7" s="1">
        <v>0.5</v>
      </c>
      <c r="G7" s="1">
        <v>7.1609999999999996</v>
      </c>
      <c r="H7" s="1">
        <v>0</v>
      </c>
    </row>
    <row r="8" spans="1:14" x14ac:dyDescent="0.2">
      <c r="A8" s="1" t="s">
        <v>85</v>
      </c>
      <c r="B8" s="1" t="s">
        <v>92</v>
      </c>
      <c r="C8" s="1" t="s">
        <v>103</v>
      </c>
      <c r="D8" s="1">
        <v>2</v>
      </c>
      <c r="E8" s="1">
        <f>22-3.1</f>
        <v>18.899999999999999</v>
      </c>
      <c r="F8" s="1">
        <v>1.2</v>
      </c>
      <c r="G8" s="1">
        <v>8.7430000000000003</v>
      </c>
      <c r="H8" s="1">
        <v>1</v>
      </c>
    </row>
    <row r="9" spans="1:14" x14ac:dyDescent="0.2">
      <c r="A9" s="1" t="s">
        <v>85</v>
      </c>
      <c r="B9" s="1" t="s">
        <v>92</v>
      </c>
      <c r="C9" s="1" t="s">
        <v>105</v>
      </c>
      <c r="D9" s="1">
        <v>3</v>
      </c>
      <c r="E9" s="1">
        <v>18.899999999999999</v>
      </c>
      <c r="F9" s="1">
        <v>0.7</v>
      </c>
      <c r="G9" s="1">
        <v>6.1429999999999998</v>
      </c>
      <c r="H9" s="1">
        <v>1</v>
      </c>
    </row>
    <row r="10" spans="1:14" x14ac:dyDescent="0.2">
      <c r="A10" s="1" t="s">
        <v>85</v>
      </c>
      <c r="B10" s="1" t="s">
        <v>111</v>
      </c>
      <c r="C10" s="1" t="s">
        <v>105</v>
      </c>
      <c r="D10" s="1">
        <v>1</v>
      </c>
      <c r="E10" s="1">
        <v>9.3000000000000007</v>
      </c>
      <c r="F10" s="1">
        <v>0.6</v>
      </c>
      <c r="G10" s="1">
        <v>3.0019999999999998</v>
      </c>
    </row>
    <row r="11" spans="1:14" x14ac:dyDescent="0.2">
      <c r="A11" s="1" t="s">
        <v>85</v>
      </c>
      <c r="B11" s="1" t="s">
        <v>111</v>
      </c>
      <c r="C11" s="1" t="s">
        <v>105</v>
      </c>
      <c r="D11" s="1">
        <v>1</v>
      </c>
      <c r="F11" s="1">
        <v>0.3</v>
      </c>
      <c r="G11" s="1">
        <v>2.6619999999999999</v>
      </c>
    </row>
    <row r="12" spans="1:14" x14ac:dyDescent="0.2">
      <c r="A12" s="1" t="s">
        <v>85</v>
      </c>
      <c r="B12" s="1" t="s">
        <v>111</v>
      </c>
      <c r="C12" s="1" t="s">
        <v>105</v>
      </c>
      <c r="D12" s="1">
        <v>1</v>
      </c>
      <c r="F12" s="1">
        <v>0.4</v>
      </c>
      <c r="G12" s="1">
        <v>2.8130000000000002</v>
      </c>
      <c r="J12" s="1">
        <v>1</v>
      </c>
    </row>
    <row r="13" spans="1:14" x14ac:dyDescent="0.2">
      <c r="A13" s="1" t="s">
        <v>85</v>
      </c>
      <c r="B13" s="1" t="s">
        <v>111</v>
      </c>
      <c r="C13" s="1" t="s">
        <v>105</v>
      </c>
      <c r="D13" s="1">
        <v>2</v>
      </c>
      <c r="E13" s="1">
        <v>19.7</v>
      </c>
      <c r="F13" s="1">
        <v>0.2</v>
      </c>
      <c r="G13" s="1">
        <v>2.7229999999999999</v>
      </c>
      <c r="J13" s="1">
        <v>1</v>
      </c>
    </row>
    <row r="14" spans="1:14" s="12" customFormat="1" x14ac:dyDescent="0.2">
      <c r="A14" s="12" t="s">
        <v>85</v>
      </c>
      <c r="B14" s="12" t="s">
        <v>111</v>
      </c>
      <c r="C14" s="12" t="s">
        <v>105</v>
      </c>
      <c r="D14" s="12">
        <v>3</v>
      </c>
      <c r="E14" s="12" t="s">
        <v>112</v>
      </c>
    </row>
    <row r="15" spans="1:14" x14ac:dyDescent="0.2">
      <c r="A15" s="1" t="s">
        <v>85</v>
      </c>
      <c r="B15" s="1" t="s">
        <v>114</v>
      </c>
      <c r="C15" s="1" t="s">
        <v>9</v>
      </c>
      <c r="D15" s="1">
        <v>1</v>
      </c>
      <c r="E15" s="1">
        <v>5.3</v>
      </c>
      <c r="F15" s="1">
        <v>4</v>
      </c>
      <c r="G15" s="1">
        <v>12.824999999999999</v>
      </c>
      <c r="H15" s="1">
        <v>10</v>
      </c>
    </row>
    <row r="16" spans="1:14" x14ac:dyDescent="0.2">
      <c r="B16" s="1" t="s">
        <v>114</v>
      </c>
      <c r="C16" s="1" t="s">
        <v>9</v>
      </c>
      <c r="D16" s="1">
        <v>2</v>
      </c>
      <c r="E16" s="1">
        <v>1.3</v>
      </c>
      <c r="F16" s="1">
        <v>3</v>
      </c>
      <c r="G16" s="1">
        <v>10.391</v>
      </c>
      <c r="H16" s="1">
        <v>7</v>
      </c>
    </row>
    <row r="17" spans="2:8" x14ac:dyDescent="0.2">
      <c r="B17" s="1" t="s">
        <v>114</v>
      </c>
      <c r="C17" s="1" t="s">
        <v>9</v>
      </c>
      <c r="D17" s="1">
        <v>3</v>
      </c>
      <c r="E17" s="1">
        <v>1.4</v>
      </c>
      <c r="F17" s="1">
        <v>2.9</v>
      </c>
      <c r="G17" s="1">
        <v>11.32</v>
      </c>
      <c r="H17" s="1">
        <v>6</v>
      </c>
    </row>
    <row r="18" spans="2:8" x14ac:dyDescent="0.2">
      <c r="B18" s="1" t="s">
        <v>114</v>
      </c>
      <c r="C18" s="1" t="s">
        <v>9</v>
      </c>
      <c r="D18" s="1">
        <v>4</v>
      </c>
      <c r="E18" s="1">
        <v>1.1000000000000001</v>
      </c>
      <c r="F18" s="1">
        <v>1.3</v>
      </c>
      <c r="G18" s="1">
        <v>8.6639999999999997</v>
      </c>
      <c r="H18" s="1">
        <v>4</v>
      </c>
    </row>
    <row r="19" spans="2:8" x14ac:dyDescent="0.2">
      <c r="B19" s="1" t="s">
        <v>114</v>
      </c>
      <c r="C19" s="1" t="s">
        <v>9</v>
      </c>
      <c r="D19" s="1">
        <v>5</v>
      </c>
      <c r="E19" s="1">
        <v>1.3</v>
      </c>
      <c r="F19" s="1">
        <v>2</v>
      </c>
      <c r="G19" s="1">
        <v>10.891999999999999</v>
      </c>
      <c r="H19" s="1">
        <v>5</v>
      </c>
    </row>
    <row r="20" spans="2:8" x14ac:dyDescent="0.2">
      <c r="B20" s="1" t="s">
        <v>114</v>
      </c>
      <c r="C20" s="1" t="s">
        <v>10</v>
      </c>
      <c r="D20" s="1">
        <v>1</v>
      </c>
      <c r="E20" s="1">
        <v>3.7</v>
      </c>
      <c r="F20" s="1">
        <v>2.2999999999999998</v>
      </c>
      <c r="G20" s="1">
        <v>8.1129999999999995</v>
      </c>
      <c r="H20" s="1">
        <v>3</v>
      </c>
    </row>
    <row r="21" spans="2:8" x14ac:dyDescent="0.2">
      <c r="B21" s="1" t="s">
        <v>114</v>
      </c>
      <c r="C21" s="1" t="s">
        <v>115</v>
      </c>
      <c r="D21" s="1">
        <v>1</v>
      </c>
      <c r="E21" s="1">
        <v>1.4</v>
      </c>
      <c r="F21" s="1">
        <v>2.1</v>
      </c>
      <c r="G21" s="1">
        <v>9.23</v>
      </c>
      <c r="H21" s="1">
        <v>4</v>
      </c>
    </row>
    <row r="22" spans="2:8" x14ac:dyDescent="0.2">
      <c r="C22" s="1" t="s">
        <v>116</v>
      </c>
      <c r="D22" s="1">
        <v>1</v>
      </c>
      <c r="F22" s="1">
        <v>5.2</v>
      </c>
      <c r="G22" s="1">
        <v>5.2080000000000002</v>
      </c>
      <c r="H22" s="1">
        <v>0</v>
      </c>
    </row>
    <row r="23" spans="2:8" x14ac:dyDescent="0.2">
      <c r="C23" s="1" t="s">
        <v>116</v>
      </c>
      <c r="D23" s="1">
        <v>1</v>
      </c>
      <c r="F23" s="1">
        <v>1.1000000000000001</v>
      </c>
      <c r="G23" s="1">
        <v>4.2789999999999999</v>
      </c>
      <c r="H23" s="1">
        <v>1</v>
      </c>
    </row>
    <row r="24" spans="2:8" x14ac:dyDescent="0.2">
      <c r="F24" s="1">
        <v>1.5</v>
      </c>
      <c r="G24" s="1">
        <v>9.6859999999999999</v>
      </c>
      <c r="H24" s="1">
        <v>5</v>
      </c>
    </row>
    <row r="25" spans="2:8" x14ac:dyDescent="0.2">
      <c r="F25" s="1">
        <v>2.4</v>
      </c>
      <c r="G25" s="1">
        <v>9.3059999999999992</v>
      </c>
      <c r="H25" s="1">
        <v>3</v>
      </c>
    </row>
    <row r="26" spans="2:8" x14ac:dyDescent="0.2">
      <c r="F26" s="1">
        <v>1.9</v>
      </c>
      <c r="G26" s="1">
        <v>9.8239999999999998</v>
      </c>
      <c r="H26" s="1">
        <v>6</v>
      </c>
    </row>
    <row r="27" spans="2:8" x14ac:dyDescent="0.2">
      <c r="F27" s="1">
        <v>2.2000000000000002</v>
      </c>
      <c r="G27" s="1">
        <v>9.7530000000000001</v>
      </c>
      <c r="H27" s="1">
        <v>5</v>
      </c>
    </row>
    <row r="28" spans="2:8" x14ac:dyDescent="0.2">
      <c r="F28" s="1">
        <v>2.6</v>
      </c>
      <c r="G28" s="1">
        <v>10.625999999999999</v>
      </c>
      <c r="H28" s="1">
        <v>9</v>
      </c>
    </row>
    <row r="29" spans="2:8" x14ac:dyDescent="0.2">
      <c r="F29" s="1">
        <v>2.2999999999999998</v>
      </c>
      <c r="G29" s="1">
        <v>10.797000000000001</v>
      </c>
      <c r="H29" s="1">
        <v>8</v>
      </c>
    </row>
    <row r="30" spans="2:8" x14ac:dyDescent="0.2">
      <c r="F30" s="1">
        <v>0.9</v>
      </c>
      <c r="G30" s="1">
        <v>6.048</v>
      </c>
      <c r="H30" s="1">
        <v>5</v>
      </c>
    </row>
    <row r="31" spans="2:8" x14ac:dyDescent="0.2">
      <c r="F31" s="1">
        <v>1.5</v>
      </c>
      <c r="G31" s="1">
        <v>8.3369999999999997</v>
      </c>
      <c r="H31" s="1">
        <v>2</v>
      </c>
    </row>
    <row r="32" spans="2:8" x14ac:dyDescent="0.2">
      <c r="F32" s="1">
        <v>1.1000000000000001</v>
      </c>
      <c r="G32" s="1">
        <v>5.2279999999999998</v>
      </c>
      <c r="H32" s="1">
        <v>1</v>
      </c>
    </row>
    <row r="33" spans="1:11" x14ac:dyDescent="0.2">
      <c r="F33" s="1">
        <v>1.9</v>
      </c>
      <c r="G33" s="1">
        <v>8.3870000000000005</v>
      </c>
      <c r="H33" s="1">
        <v>4</v>
      </c>
    </row>
    <row r="34" spans="1:11" x14ac:dyDescent="0.2">
      <c r="F34" s="1">
        <v>2.5</v>
      </c>
      <c r="G34" s="1">
        <v>11.244999999999999</v>
      </c>
      <c r="H34" s="1">
        <v>6</v>
      </c>
    </row>
    <row r="35" spans="1:11" x14ac:dyDescent="0.2">
      <c r="F35" s="1">
        <v>1.3</v>
      </c>
      <c r="G35" s="1">
        <v>7.2060000000000004</v>
      </c>
      <c r="H35" s="1">
        <v>0</v>
      </c>
    </row>
    <row r="36" spans="1:11" x14ac:dyDescent="0.2">
      <c r="F36" s="1">
        <v>2.1</v>
      </c>
      <c r="G36" s="1">
        <v>7.508</v>
      </c>
      <c r="H36" s="1">
        <v>5</v>
      </c>
    </row>
    <row r="37" spans="1:11" x14ac:dyDescent="0.2">
      <c r="F37" s="1">
        <v>1.6</v>
      </c>
      <c r="G37" s="1">
        <v>10.734999999999999</v>
      </c>
      <c r="H37" s="1">
        <v>8</v>
      </c>
    </row>
    <row r="38" spans="1:11" x14ac:dyDescent="0.2">
      <c r="F38" s="1">
        <v>1.6</v>
      </c>
      <c r="G38" s="1">
        <v>7.4630000000000001</v>
      </c>
      <c r="H38" s="1">
        <v>2</v>
      </c>
    </row>
    <row r="39" spans="1:11" x14ac:dyDescent="0.2">
      <c r="F39" s="1">
        <v>2.1</v>
      </c>
      <c r="G39" s="1">
        <v>12.272</v>
      </c>
      <c r="H39" s="1">
        <v>6</v>
      </c>
    </row>
    <row r="40" spans="1:11" x14ac:dyDescent="0.2">
      <c r="F40" s="1">
        <v>2.5</v>
      </c>
      <c r="G40" s="1">
        <v>7.8579999999999997</v>
      </c>
      <c r="H40" s="1">
        <v>0</v>
      </c>
    </row>
    <row r="41" spans="1:11" x14ac:dyDescent="0.2">
      <c r="F41" s="1">
        <v>1.1000000000000001</v>
      </c>
      <c r="G41" s="1">
        <v>11.242000000000001</v>
      </c>
      <c r="H41" s="1">
        <v>5</v>
      </c>
    </row>
    <row r="42" spans="1:11" x14ac:dyDescent="0.2">
      <c r="F42" s="1">
        <v>0.8</v>
      </c>
      <c r="G42" s="1">
        <v>10.765000000000001</v>
      </c>
      <c r="H42" s="1">
        <v>2</v>
      </c>
    </row>
    <row r="43" spans="1:11" x14ac:dyDescent="0.2">
      <c r="F43" s="1">
        <v>1.6</v>
      </c>
      <c r="G43" s="1">
        <v>12.746</v>
      </c>
      <c r="H43" s="1">
        <v>2</v>
      </c>
    </row>
    <row r="44" spans="1:11" x14ac:dyDescent="0.2">
      <c r="F44" s="1">
        <v>1.2</v>
      </c>
      <c r="G44" s="1">
        <v>7.2030000000000003</v>
      </c>
      <c r="H44" s="1">
        <v>2</v>
      </c>
    </row>
    <row r="45" spans="1:11" x14ac:dyDescent="0.2">
      <c r="F45" s="1">
        <v>0.8</v>
      </c>
      <c r="G45" s="1">
        <v>6.6230000000000002</v>
      </c>
      <c r="H45" s="1">
        <v>0</v>
      </c>
    </row>
    <row r="46" spans="1:11" x14ac:dyDescent="0.2">
      <c r="A46" s="1" t="s">
        <v>117</v>
      </c>
      <c r="B46" s="1" t="s">
        <v>114</v>
      </c>
      <c r="C46" s="1" t="s">
        <v>9</v>
      </c>
      <c r="F46" s="1">
        <v>0.5</v>
      </c>
      <c r="G46" s="1">
        <v>6.28</v>
      </c>
      <c r="H46" s="1">
        <v>0</v>
      </c>
    </row>
    <row r="47" spans="1:11" x14ac:dyDescent="0.2">
      <c r="F47" s="1">
        <v>0.6</v>
      </c>
      <c r="G47" s="1">
        <v>6.9029999999999996</v>
      </c>
      <c r="H47" s="1">
        <v>1</v>
      </c>
      <c r="K47" s="1">
        <v>1</v>
      </c>
    </row>
    <row r="48" spans="1:11" x14ac:dyDescent="0.2">
      <c r="F48" s="1">
        <v>0.6</v>
      </c>
      <c r="G48" s="1">
        <v>7.1029999999999998</v>
      </c>
      <c r="H48" s="1">
        <v>1</v>
      </c>
      <c r="K48" s="1">
        <v>1</v>
      </c>
    </row>
    <row r="49" spans="6:14" x14ac:dyDescent="0.2">
      <c r="F49" s="1">
        <v>0.4</v>
      </c>
      <c r="G49" s="1">
        <v>4.6790000000000003</v>
      </c>
      <c r="H49" s="1">
        <v>1</v>
      </c>
      <c r="L49" s="1">
        <v>1</v>
      </c>
    </row>
    <row r="50" spans="6:14" x14ac:dyDescent="0.2">
      <c r="F50" s="1">
        <v>0.7</v>
      </c>
      <c r="G50" s="1">
        <v>5.5419999999999998</v>
      </c>
      <c r="H50" s="1">
        <v>1</v>
      </c>
      <c r="L50" s="1">
        <v>1</v>
      </c>
    </row>
    <row r="51" spans="6:14" x14ac:dyDescent="0.2">
      <c r="F51" s="1">
        <v>0.4</v>
      </c>
      <c r="G51" s="1">
        <v>4.7629999999999999</v>
      </c>
      <c r="H51" s="1">
        <v>1</v>
      </c>
      <c r="M51" s="1">
        <v>1</v>
      </c>
    </row>
    <row r="52" spans="6:14" x14ac:dyDescent="0.2">
      <c r="F52" s="1">
        <v>0.9</v>
      </c>
      <c r="G52" s="1">
        <v>4.5039999999999996</v>
      </c>
      <c r="H52" s="1">
        <v>3</v>
      </c>
      <c r="M52" s="1">
        <v>3</v>
      </c>
    </row>
    <row r="53" spans="6:14" x14ac:dyDescent="0.2">
      <c r="F53" s="1">
        <v>0.5</v>
      </c>
      <c r="G53" s="1">
        <v>3.7130000000000001</v>
      </c>
      <c r="H53" s="1">
        <v>0</v>
      </c>
    </row>
    <row r="54" spans="6:14" x14ac:dyDescent="0.2">
      <c r="F54" s="1">
        <v>0.5</v>
      </c>
      <c r="G54" s="1">
        <v>5.7450000000000001</v>
      </c>
      <c r="H54" s="1">
        <v>0</v>
      </c>
    </row>
    <row r="55" spans="6:14" x14ac:dyDescent="0.2">
      <c r="F55" s="1">
        <v>1.1000000000000001</v>
      </c>
      <c r="G55" s="1">
        <v>6.6849999999999996</v>
      </c>
      <c r="H55" s="1">
        <v>3</v>
      </c>
      <c r="L55" s="1">
        <v>3</v>
      </c>
    </row>
    <row r="56" spans="6:14" x14ac:dyDescent="0.2">
      <c r="F56" s="1">
        <v>0.6</v>
      </c>
      <c r="G56" s="1">
        <v>5.6479999999999997</v>
      </c>
      <c r="H56" s="1">
        <v>1</v>
      </c>
      <c r="N56" s="1">
        <v>1</v>
      </c>
    </row>
    <row r="57" spans="6:14" x14ac:dyDescent="0.2">
      <c r="F57" s="1">
        <v>1.8</v>
      </c>
      <c r="G57" s="1">
        <v>7.0179999999999998</v>
      </c>
      <c r="H57" s="1">
        <v>5</v>
      </c>
      <c r="M57" s="1">
        <v>3</v>
      </c>
      <c r="N57" s="1">
        <v>2</v>
      </c>
    </row>
    <row r="58" spans="6:14" x14ac:dyDescent="0.2">
      <c r="F58" s="1">
        <v>1.5</v>
      </c>
      <c r="G58" s="1">
        <v>8.2530000000000001</v>
      </c>
      <c r="H58" s="1">
        <v>3</v>
      </c>
      <c r="L58" s="1">
        <v>3</v>
      </c>
    </row>
    <row r="59" spans="6:14" x14ac:dyDescent="0.2">
      <c r="F59" s="1">
        <v>0.5</v>
      </c>
      <c r="G59" s="1">
        <v>6.1029999999999998</v>
      </c>
      <c r="H59" s="1">
        <v>0</v>
      </c>
    </row>
    <row r="60" spans="6:14" x14ac:dyDescent="0.2">
      <c r="F60" s="1">
        <v>1.6</v>
      </c>
      <c r="G60" s="15">
        <v>8.3409999999999993</v>
      </c>
      <c r="H60" s="1">
        <v>2</v>
      </c>
      <c r="L60" s="1">
        <v>2</v>
      </c>
    </row>
    <row r="61" spans="6:14" x14ac:dyDescent="0.2">
      <c r="F61" s="1">
        <v>0.8</v>
      </c>
      <c r="G61" s="1">
        <v>6.1950000000000003</v>
      </c>
      <c r="H61" s="1">
        <v>0</v>
      </c>
    </row>
    <row r="62" spans="6:14" x14ac:dyDescent="0.2">
      <c r="F62" s="1">
        <v>0.7</v>
      </c>
      <c r="G62" s="1">
        <v>5.6219999999999999</v>
      </c>
      <c r="H62" s="1">
        <v>1</v>
      </c>
      <c r="L62" s="1">
        <v>1</v>
      </c>
    </row>
    <row r="63" spans="6:14" x14ac:dyDescent="0.2">
      <c r="F63" s="1">
        <v>0.8</v>
      </c>
      <c r="G63" s="1">
        <v>7.1619999999999999</v>
      </c>
      <c r="H63" s="1">
        <v>0</v>
      </c>
    </row>
    <row r="64" spans="6:14" x14ac:dyDescent="0.2">
      <c r="F64" s="1">
        <v>2</v>
      </c>
      <c r="G64" s="1">
        <v>5.3680000000000003</v>
      </c>
      <c r="H64" s="1">
        <v>3</v>
      </c>
      <c r="K64" s="1">
        <v>3</v>
      </c>
    </row>
    <row r="65" spans="1:14" x14ac:dyDescent="0.2">
      <c r="A65" s="1" t="s">
        <v>117</v>
      </c>
      <c r="B65" s="1" t="s">
        <v>114</v>
      </c>
      <c r="C65" s="1" t="s">
        <v>124</v>
      </c>
      <c r="F65" s="1">
        <v>0.5</v>
      </c>
      <c r="G65" s="1">
        <v>4.3099999999999996</v>
      </c>
      <c r="H65" s="1">
        <v>0</v>
      </c>
    </row>
    <row r="66" spans="1:14" x14ac:dyDescent="0.2">
      <c r="F66" s="1">
        <v>0.4</v>
      </c>
      <c r="G66" s="1">
        <v>4.492</v>
      </c>
      <c r="H66" s="1">
        <v>0</v>
      </c>
    </row>
    <row r="67" spans="1:14" x14ac:dyDescent="0.2">
      <c r="F67" s="1">
        <v>0.8</v>
      </c>
      <c r="G67" s="1">
        <v>7.4859999999999998</v>
      </c>
      <c r="H67" s="1">
        <v>2</v>
      </c>
      <c r="L67" s="1">
        <v>1</v>
      </c>
      <c r="M67" s="1">
        <v>1</v>
      </c>
    </row>
    <row r="68" spans="1:14" x14ac:dyDescent="0.2">
      <c r="F68" s="1">
        <v>1.1000000000000001</v>
      </c>
      <c r="G68" s="1">
        <v>9.1880000000000006</v>
      </c>
      <c r="H68" s="1">
        <v>5</v>
      </c>
      <c r="L68" s="1">
        <v>4</v>
      </c>
      <c r="M68" s="1">
        <v>1</v>
      </c>
    </row>
    <row r="69" spans="1:14" x14ac:dyDescent="0.2">
      <c r="F69" s="1">
        <v>0.8</v>
      </c>
      <c r="G69" s="1">
        <v>7.1769999999999996</v>
      </c>
      <c r="H69" s="1">
        <v>0</v>
      </c>
    </row>
    <row r="70" spans="1:14" x14ac:dyDescent="0.2">
      <c r="F70" s="1">
        <v>1.1000000000000001</v>
      </c>
      <c r="G70" s="1">
        <v>9.4060000000000006</v>
      </c>
      <c r="H70" s="1">
        <v>4</v>
      </c>
      <c r="L70" s="1">
        <v>4</v>
      </c>
    </row>
    <row r="71" spans="1:14" x14ac:dyDescent="0.2">
      <c r="F71" s="1">
        <v>0.7</v>
      </c>
      <c r="G71" s="1">
        <v>6.7149999999999999</v>
      </c>
      <c r="H71" s="1">
        <v>1</v>
      </c>
      <c r="L71" s="1">
        <v>1</v>
      </c>
    </row>
    <row r="72" spans="1:14" x14ac:dyDescent="0.2">
      <c r="F72" s="1">
        <v>0.8</v>
      </c>
      <c r="G72" s="1">
        <v>7.7409999999999997</v>
      </c>
      <c r="H72" s="1">
        <v>3</v>
      </c>
      <c r="L72" s="1">
        <v>3</v>
      </c>
    </row>
    <row r="73" spans="1:14" x14ac:dyDescent="0.2">
      <c r="F73" s="1">
        <v>0.4</v>
      </c>
      <c r="G73" s="1">
        <v>5.8079999999999998</v>
      </c>
      <c r="H73" s="1">
        <v>1</v>
      </c>
      <c r="M73" s="1">
        <v>1</v>
      </c>
    </row>
    <row r="74" spans="1:14" x14ac:dyDescent="0.2">
      <c r="F74" s="1">
        <v>1.6</v>
      </c>
      <c r="G74" s="1">
        <v>8.35</v>
      </c>
      <c r="H74" s="1">
        <v>3</v>
      </c>
      <c r="L74" s="1">
        <v>3</v>
      </c>
    </row>
    <row r="75" spans="1:14" x14ac:dyDescent="0.2">
      <c r="F75" s="1">
        <v>2</v>
      </c>
      <c r="G75" s="1">
        <v>9.6210000000000004</v>
      </c>
      <c r="H75" s="1">
        <v>5</v>
      </c>
      <c r="L75" s="1">
        <v>5</v>
      </c>
    </row>
    <row r="76" spans="1:14" x14ac:dyDescent="0.2">
      <c r="F76" s="1">
        <v>1.1000000000000001</v>
      </c>
      <c r="G76" s="1">
        <v>4.1219999999999999</v>
      </c>
      <c r="H76" s="1">
        <v>3</v>
      </c>
      <c r="M76" s="1">
        <v>2</v>
      </c>
      <c r="N76" s="1">
        <v>1</v>
      </c>
    </row>
    <row r="77" spans="1:14" x14ac:dyDescent="0.2">
      <c r="F77" s="1">
        <v>2.1</v>
      </c>
      <c r="G77" s="1">
        <v>13.161</v>
      </c>
      <c r="H77" s="1">
        <v>1</v>
      </c>
      <c r="N77" s="1">
        <v>1</v>
      </c>
    </row>
    <row r="78" spans="1:14" x14ac:dyDescent="0.2">
      <c r="A78" s="1" t="s">
        <v>117</v>
      </c>
      <c r="B78" s="1" t="s">
        <v>114</v>
      </c>
      <c r="C78" s="1" t="s">
        <v>10</v>
      </c>
      <c r="F78" s="1">
        <v>0.7</v>
      </c>
      <c r="G78" s="1">
        <v>9.3770000000000007</v>
      </c>
      <c r="H78" s="1">
        <v>2</v>
      </c>
    </row>
    <row r="79" spans="1:14" x14ac:dyDescent="0.2">
      <c r="A79" s="1" t="s">
        <v>117</v>
      </c>
      <c r="B79" s="1" t="s">
        <v>110</v>
      </c>
      <c r="C79" s="1" t="s">
        <v>9</v>
      </c>
      <c r="F79" s="1">
        <v>1.8</v>
      </c>
      <c r="G79" s="1">
        <v>7.95</v>
      </c>
      <c r="H79" s="1">
        <v>0</v>
      </c>
    </row>
    <row r="80" spans="1:14" x14ac:dyDescent="0.2">
      <c r="F80" s="1">
        <v>0.7</v>
      </c>
      <c r="G80" s="1">
        <v>5.39</v>
      </c>
      <c r="H80" s="1">
        <v>0</v>
      </c>
    </row>
    <row r="81" spans="1:12" x14ac:dyDescent="0.2">
      <c r="F81" s="1">
        <v>0.7</v>
      </c>
      <c r="G81" s="1">
        <v>7.319</v>
      </c>
      <c r="H81" s="1">
        <v>0</v>
      </c>
    </row>
    <row r="82" spans="1:12" x14ac:dyDescent="0.2">
      <c r="F82" s="1">
        <v>0.8</v>
      </c>
      <c r="G82" s="1">
        <v>8.1219999999999999</v>
      </c>
      <c r="H82" s="1">
        <v>0</v>
      </c>
    </row>
    <row r="83" spans="1:12" x14ac:dyDescent="0.2">
      <c r="F83" s="1">
        <v>0.6</v>
      </c>
      <c r="G83" s="1">
        <v>8.0909999999999993</v>
      </c>
      <c r="H83" s="1">
        <v>0</v>
      </c>
    </row>
    <row r="84" spans="1:12" x14ac:dyDescent="0.2">
      <c r="F84" s="1">
        <v>1.2</v>
      </c>
      <c r="G84" s="1">
        <v>6.8259999999999996</v>
      </c>
      <c r="H84" s="1">
        <v>0</v>
      </c>
    </row>
    <row r="85" spans="1:12" x14ac:dyDescent="0.2">
      <c r="F85" s="1">
        <v>0.6</v>
      </c>
      <c r="G85" s="1">
        <v>6.9139999999999997</v>
      </c>
      <c r="H85" s="1">
        <v>0</v>
      </c>
    </row>
    <row r="86" spans="1:12" x14ac:dyDescent="0.2">
      <c r="F86" s="1">
        <v>0.4</v>
      </c>
      <c r="G86" s="1">
        <v>5.1319999999999997</v>
      </c>
      <c r="H86" s="1">
        <v>0</v>
      </c>
    </row>
    <row r="87" spans="1:12" x14ac:dyDescent="0.2">
      <c r="F87" s="1">
        <v>0.5</v>
      </c>
      <c r="G87" s="1">
        <v>6.3319999999999999</v>
      </c>
      <c r="H87" s="1">
        <v>0</v>
      </c>
    </row>
    <row r="88" spans="1:12" x14ac:dyDescent="0.2">
      <c r="F88" s="1">
        <v>0.6</v>
      </c>
      <c r="G88" s="1">
        <v>7.109</v>
      </c>
      <c r="H88" s="1">
        <v>0</v>
      </c>
    </row>
    <row r="89" spans="1:12" x14ac:dyDescent="0.2">
      <c r="A89" s="1" t="s">
        <v>117</v>
      </c>
      <c r="B89" s="1" t="s">
        <v>110</v>
      </c>
      <c r="C89" s="1" t="s">
        <v>103</v>
      </c>
      <c r="F89" s="1">
        <v>0.9</v>
      </c>
      <c r="G89" s="1">
        <v>9.5809999999999995</v>
      </c>
      <c r="H89" s="1">
        <v>1</v>
      </c>
      <c r="L89" s="1">
        <v>1</v>
      </c>
    </row>
    <row r="90" spans="1:12" x14ac:dyDescent="0.2">
      <c r="F90" s="1">
        <v>0.6</v>
      </c>
      <c r="G90" s="1">
        <v>5.2130000000000001</v>
      </c>
      <c r="H90" s="1">
        <v>0</v>
      </c>
    </row>
    <row r="91" spans="1:12" x14ac:dyDescent="0.2">
      <c r="F91" s="1">
        <v>0.3</v>
      </c>
      <c r="G91" s="1">
        <v>3.1110000000000002</v>
      </c>
      <c r="H91" s="1">
        <v>1</v>
      </c>
      <c r="K91" s="1">
        <v>1</v>
      </c>
    </row>
    <row r="92" spans="1:12" x14ac:dyDescent="0.2">
      <c r="F92" s="1">
        <v>0.4</v>
      </c>
      <c r="G92" s="1">
        <v>4.6310000000000002</v>
      </c>
      <c r="H92" s="1">
        <v>0</v>
      </c>
    </row>
    <row r="93" spans="1:12" x14ac:dyDescent="0.2">
      <c r="F93" s="1">
        <v>0.4</v>
      </c>
      <c r="G93" s="1">
        <v>5.0110000000000001</v>
      </c>
      <c r="H93" s="1">
        <v>0</v>
      </c>
    </row>
    <row r="94" spans="1:12" x14ac:dyDescent="0.2">
      <c r="F94" s="1">
        <v>0.6</v>
      </c>
      <c r="G94" s="1">
        <v>7.6820000000000004</v>
      </c>
      <c r="H94" s="1">
        <v>0</v>
      </c>
    </row>
    <row r="95" spans="1:12" x14ac:dyDescent="0.2">
      <c r="F95" s="1">
        <v>0.7</v>
      </c>
      <c r="G95" s="1">
        <v>6.7530000000000001</v>
      </c>
      <c r="H95" s="1">
        <v>0</v>
      </c>
    </row>
    <row r="96" spans="1:12" x14ac:dyDescent="0.2">
      <c r="F96" s="1">
        <v>0.7</v>
      </c>
      <c r="G96" s="1">
        <v>7.69</v>
      </c>
      <c r="H96" s="1">
        <v>1</v>
      </c>
      <c r="L96" s="1">
        <v>1</v>
      </c>
    </row>
    <row r="97" spans="1:13" x14ac:dyDescent="0.2">
      <c r="A97" s="1" t="s">
        <v>117</v>
      </c>
      <c r="B97" s="1" t="s">
        <v>110</v>
      </c>
      <c r="C97" s="1" t="s">
        <v>10</v>
      </c>
      <c r="F97" s="1">
        <v>2.8</v>
      </c>
      <c r="G97" s="1">
        <v>7.7229999999999999</v>
      </c>
      <c r="H97" s="1">
        <v>0</v>
      </c>
    </row>
    <row r="98" spans="1:13" x14ac:dyDescent="0.2">
      <c r="A98" s="1" t="s">
        <v>117</v>
      </c>
      <c r="B98" s="1" t="s">
        <v>110</v>
      </c>
      <c r="C98" s="1" t="s">
        <v>11</v>
      </c>
      <c r="F98" s="1">
        <v>2.5</v>
      </c>
      <c r="G98" s="1">
        <v>8.5419999999999998</v>
      </c>
      <c r="H98" s="1">
        <v>0</v>
      </c>
    </row>
    <row r="99" spans="1:13" x14ac:dyDescent="0.2">
      <c r="B99" s="1" t="s">
        <v>92</v>
      </c>
      <c r="C99" s="1" t="s">
        <v>103</v>
      </c>
      <c r="F99" s="1">
        <v>1.6</v>
      </c>
      <c r="G99" s="1">
        <v>11.797000000000001</v>
      </c>
      <c r="H99" s="1">
        <v>8</v>
      </c>
      <c r="L99" s="1">
        <v>6</v>
      </c>
      <c r="M99" s="1">
        <v>2</v>
      </c>
    </row>
    <row r="100" spans="1:13" x14ac:dyDescent="0.2">
      <c r="F100" s="1">
        <v>0.6</v>
      </c>
      <c r="G100" s="1">
        <v>5.5410000000000004</v>
      </c>
      <c r="H100" s="1">
        <v>1</v>
      </c>
      <c r="L100" s="1">
        <v>1</v>
      </c>
    </row>
    <row r="101" spans="1:13" x14ac:dyDescent="0.2">
      <c r="F101" s="1">
        <v>2.2999999999999998</v>
      </c>
      <c r="G101" s="1">
        <v>10.760999999999999</v>
      </c>
      <c r="H101" s="1">
        <v>7</v>
      </c>
      <c r="L101" s="1">
        <v>6</v>
      </c>
      <c r="M101" s="1">
        <v>1</v>
      </c>
    </row>
    <row r="102" spans="1:13" x14ac:dyDescent="0.2">
      <c r="F102" s="1">
        <v>1.3</v>
      </c>
      <c r="G102" s="1">
        <v>7.2539999999999996</v>
      </c>
      <c r="H102" s="1">
        <v>1</v>
      </c>
      <c r="L102" s="1">
        <v>1</v>
      </c>
    </row>
    <row r="103" spans="1:13" x14ac:dyDescent="0.2">
      <c r="F103" s="1">
        <v>0.5</v>
      </c>
      <c r="G103" s="1">
        <v>6.1180000000000003</v>
      </c>
      <c r="H103" s="1">
        <v>1</v>
      </c>
      <c r="L103" s="1">
        <v>1</v>
      </c>
    </row>
    <row r="104" spans="1:13" x14ac:dyDescent="0.2">
      <c r="F104" s="1">
        <v>0.8</v>
      </c>
      <c r="G104" s="1">
        <v>5.6180000000000003</v>
      </c>
      <c r="H104" s="1">
        <v>1</v>
      </c>
      <c r="L104" s="1">
        <v>1</v>
      </c>
    </row>
    <row r="105" spans="1:13" x14ac:dyDescent="0.2">
      <c r="F105" s="1">
        <v>1.1000000000000001</v>
      </c>
      <c r="G105" s="1">
        <v>7.8330000000000002</v>
      </c>
      <c r="H105" s="1">
        <v>3</v>
      </c>
      <c r="L105" s="1">
        <v>3</v>
      </c>
    </row>
    <row r="106" spans="1:13" x14ac:dyDescent="0.2">
      <c r="F106" s="1">
        <v>1</v>
      </c>
      <c r="G106" s="1">
        <v>7.1950000000000003</v>
      </c>
      <c r="H106" s="1">
        <v>2</v>
      </c>
      <c r="L106" s="1">
        <v>1</v>
      </c>
      <c r="M106" s="1">
        <v>1</v>
      </c>
    </row>
    <row r="107" spans="1:13" x14ac:dyDescent="0.2">
      <c r="F107" s="1">
        <v>0.8</v>
      </c>
      <c r="G107" s="1">
        <v>5.907</v>
      </c>
      <c r="H107" s="1">
        <v>2</v>
      </c>
      <c r="L107" s="1">
        <v>2</v>
      </c>
    </row>
    <row r="108" spans="1:13" x14ac:dyDescent="0.2">
      <c r="F108" s="1">
        <v>1.5</v>
      </c>
      <c r="G108" s="1">
        <v>8.7200000000000006</v>
      </c>
      <c r="H108" s="1">
        <v>3</v>
      </c>
      <c r="L108" s="1">
        <v>3</v>
      </c>
    </row>
    <row r="109" spans="1:13" x14ac:dyDescent="0.2">
      <c r="F109" s="1">
        <v>1.5</v>
      </c>
      <c r="G109" s="1">
        <v>10.814</v>
      </c>
      <c r="H109" s="1">
        <v>5</v>
      </c>
      <c r="L109" s="1">
        <v>4</v>
      </c>
      <c r="M109" s="1">
        <v>1</v>
      </c>
    </row>
    <row r="110" spans="1:13" x14ac:dyDescent="0.2">
      <c r="F110" s="1">
        <v>1.8</v>
      </c>
      <c r="G110" s="1">
        <v>9.3620000000000001</v>
      </c>
      <c r="H110" s="1">
        <v>6</v>
      </c>
      <c r="L110" s="1">
        <v>6</v>
      </c>
    </row>
    <row r="111" spans="1:13" x14ac:dyDescent="0.2">
      <c r="F111" s="1">
        <v>1.2</v>
      </c>
      <c r="G111" s="1">
        <v>9.1609999999999996</v>
      </c>
      <c r="H111" s="1">
        <v>5</v>
      </c>
      <c r="L111" s="1">
        <v>5</v>
      </c>
    </row>
    <row r="112" spans="1:13" x14ac:dyDescent="0.2">
      <c r="F112" s="1">
        <v>1.4</v>
      </c>
      <c r="G112" s="1">
        <v>8.3580000000000005</v>
      </c>
      <c r="H112" s="1">
        <v>4</v>
      </c>
      <c r="L112" s="1">
        <v>3</v>
      </c>
      <c r="M112" s="1">
        <v>1</v>
      </c>
    </row>
    <row r="113" spans="1:13" x14ac:dyDescent="0.2">
      <c r="F113" s="1">
        <v>3.4</v>
      </c>
      <c r="G113" s="1">
        <v>8.734</v>
      </c>
      <c r="H113" s="1">
        <v>4</v>
      </c>
      <c r="L113" s="1">
        <v>4</v>
      </c>
    </row>
    <row r="114" spans="1:13" x14ac:dyDescent="0.2">
      <c r="F114" s="1">
        <v>1.4</v>
      </c>
      <c r="G114" s="1">
        <v>7.2039999999999997</v>
      </c>
      <c r="H114" s="1">
        <v>2</v>
      </c>
      <c r="L114" s="1">
        <v>2</v>
      </c>
    </row>
    <row r="115" spans="1:13" x14ac:dyDescent="0.2">
      <c r="F115" s="1">
        <v>1.5</v>
      </c>
      <c r="G115" s="1">
        <v>8.8480000000000008</v>
      </c>
      <c r="H115" s="1">
        <v>5</v>
      </c>
      <c r="L115" s="1">
        <v>5</v>
      </c>
    </row>
    <row r="116" spans="1:13" x14ac:dyDescent="0.2">
      <c r="F116" s="1">
        <v>1.2</v>
      </c>
      <c r="G116" s="1">
        <v>6.7</v>
      </c>
      <c r="H116" s="1">
        <v>2</v>
      </c>
      <c r="L116" s="1">
        <v>2</v>
      </c>
    </row>
    <row r="117" spans="1:13" x14ac:dyDescent="0.2">
      <c r="F117" s="1">
        <v>1.2</v>
      </c>
      <c r="G117" s="1">
        <v>9.5259999999999998</v>
      </c>
      <c r="H117" s="1">
        <v>4</v>
      </c>
      <c r="L117" s="1">
        <v>4</v>
      </c>
    </row>
    <row r="118" spans="1:13" x14ac:dyDescent="0.2">
      <c r="F118" s="1">
        <v>2.2999999999999998</v>
      </c>
      <c r="G118" s="1">
        <v>7.9370000000000003</v>
      </c>
      <c r="H118" s="1">
        <v>3</v>
      </c>
      <c r="L118" s="1">
        <v>3</v>
      </c>
    </row>
    <row r="119" spans="1:13" x14ac:dyDescent="0.2">
      <c r="F119" s="1">
        <v>0.8</v>
      </c>
      <c r="G119" s="1">
        <v>5.9009999999999998</v>
      </c>
      <c r="H119" s="1">
        <v>2</v>
      </c>
      <c r="L119" s="1">
        <v>2</v>
      </c>
    </row>
    <row r="120" spans="1:13" x14ac:dyDescent="0.2">
      <c r="A120" s="1" t="s">
        <v>117</v>
      </c>
      <c r="B120" s="1" t="s">
        <v>92</v>
      </c>
      <c r="C120" s="1" t="s">
        <v>9</v>
      </c>
      <c r="F120" s="1">
        <v>2.2000000000000002</v>
      </c>
      <c r="G120" s="1">
        <v>10.733000000000001</v>
      </c>
      <c r="H120" s="1">
        <v>9</v>
      </c>
      <c r="M120" s="1">
        <v>9</v>
      </c>
    </row>
    <row r="121" spans="1:13" x14ac:dyDescent="0.2">
      <c r="C121" s="1" t="s">
        <v>10</v>
      </c>
      <c r="F121" s="1">
        <v>1.1000000000000001</v>
      </c>
      <c r="G121" s="1">
        <v>7.65</v>
      </c>
      <c r="H121" s="1">
        <v>2</v>
      </c>
      <c r="L121" s="1">
        <v>2</v>
      </c>
    </row>
    <row r="122" spans="1:13" x14ac:dyDescent="0.2">
      <c r="C122" s="1" t="s">
        <v>10</v>
      </c>
      <c r="F122" s="1">
        <v>2.2999999999999998</v>
      </c>
      <c r="G122" s="1">
        <v>10.420999999999999</v>
      </c>
      <c r="H122" s="1">
        <v>11</v>
      </c>
      <c r="L122" s="1">
        <v>11</v>
      </c>
    </row>
    <row r="123" spans="1:13" x14ac:dyDescent="0.2">
      <c r="C123" s="1" t="s">
        <v>10</v>
      </c>
      <c r="F123" s="1">
        <v>0.6</v>
      </c>
      <c r="G123" s="1">
        <v>5.2240000000000002</v>
      </c>
      <c r="H123" s="1">
        <v>0</v>
      </c>
    </row>
    <row r="124" spans="1:13" x14ac:dyDescent="0.2">
      <c r="C124" s="1" t="s">
        <v>10</v>
      </c>
      <c r="F124" s="1">
        <v>0.6</v>
      </c>
      <c r="G124" s="1">
        <v>5.306</v>
      </c>
      <c r="H124" s="1">
        <v>1</v>
      </c>
      <c r="L124" s="1">
        <v>1</v>
      </c>
    </row>
    <row r="125" spans="1:13" x14ac:dyDescent="0.2">
      <c r="C125" s="1" t="s">
        <v>11</v>
      </c>
      <c r="F125" s="1">
        <v>1.8</v>
      </c>
      <c r="G125" s="1">
        <v>9.702</v>
      </c>
      <c r="H125" s="1">
        <v>5</v>
      </c>
      <c r="M125" s="1">
        <v>5</v>
      </c>
    </row>
    <row r="126" spans="1:13" x14ac:dyDescent="0.2">
      <c r="A126" s="1" t="s">
        <v>117</v>
      </c>
      <c r="B126" s="1" t="s">
        <v>111</v>
      </c>
      <c r="C126" s="1" t="s">
        <v>130</v>
      </c>
      <c r="F126" s="1">
        <v>0.8</v>
      </c>
      <c r="G126" s="1">
        <v>7.3380000000000001</v>
      </c>
      <c r="H126" s="1">
        <v>3</v>
      </c>
      <c r="L126" s="1">
        <v>3</v>
      </c>
    </row>
    <row r="127" spans="1:13" x14ac:dyDescent="0.2">
      <c r="A127" s="1" t="s">
        <v>117</v>
      </c>
      <c r="B127" s="1" t="s">
        <v>111</v>
      </c>
      <c r="C127" s="1" t="s">
        <v>130</v>
      </c>
      <c r="F127" s="1">
        <v>0.9</v>
      </c>
      <c r="G127" s="1">
        <v>7.4809999999999999</v>
      </c>
      <c r="H127" s="1">
        <v>3</v>
      </c>
      <c r="L127" s="1">
        <v>3</v>
      </c>
    </row>
    <row r="128" spans="1:13" x14ac:dyDescent="0.2">
      <c r="A128" s="1" t="s">
        <v>117</v>
      </c>
      <c r="B128" s="1" t="s">
        <v>111</v>
      </c>
      <c r="C128" s="1" t="s">
        <v>130</v>
      </c>
      <c r="F128" s="1">
        <v>0.5</v>
      </c>
      <c r="G128" s="1">
        <v>6.21</v>
      </c>
      <c r="H128" s="1">
        <v>1</v>
      </c>
      <c r="L128" s="1">
        <v>1</v>
      </c>
    </row>
    <row r="129" spans="1:12" x14ac:dyDescent="0.2">
      <c r="A129" s="1" t="s">
        <v>117</v>
      </c>
      <c r="B129" s="1" t="s">
        <v>111</v>
      </c>
      <c r="C129" s="1" t="s">
        <v>130</v>
      </c>
      <c r="F129" s="1">
        <v>1.1000000000000001</v>
      </c>
      <c r="G129" s="1">
        <v>7.1890000000000001</v>
      </c>
      <c r="H129" s="1">
        <v>3</v>
      </c>
      <c r="L129" s="1">
        <v>3</v>
      </c>
    </row>
    <row r="130" spans="1:12" x14ac:dyDescent="0.2">
      <c r="A130" s="1" t="s">
        <v>117</v>
      </c>
      <c r="B130" s="1" t="s">
        <v>111</v>
      </c>
      <c r="C130" s="1" t="s">
        <v>130</v>
      </c>
      <c r="F130" s="1">
        <v>0.7</v>
      </c>
      <c r="G130" s="1">
        <v>6.4160000000000004</v>
      </c>
      <c r="H130" s="1">
        <v>2</v>
      </c>
      <c r="L130" s="1">
        <v>2</v>
      </c>
    </row>
    <row r="131" spans="1:12" x14ac:dyDescent="0.2">
      <c r="A131" s="1" t="s">
        <v>117</v>
      </c>
      <c r="B131" s="1" t="s">
        <v>111</v>
      </c>
      <c r="C131" s="1" t="s">
        <v>130</v>
      </c>
      <c r="F131" s="1">
        <v>0.6</v>
      </c>
      <c r="G131" s="1">
        <v>6.1769999999999996</v>
      </c>
      <c r="H131" s="1">
        <v>0</v>
      </c>
    </row>
    <row r="132" spans="1:12" x14ac:dyDescent="0.2">
      <c r="A132" s="1" t="s">
        <v>117</v>
      </c>
      <c r="B132" s="1" t="s">
        <v>111</v>
      </c>
      <c r="C132" s="1" t="s">
        <v>130</v>
      </c>
      <c r="F132" s="1">
        <v>1.1000000000000001</v>
      </c>
      <c r="G132" s="1">
        <v>6.3109999999999999</v>
      </c>
      <c r="H132" s="1">
        <v>2</v>
      </c>
      <c r="L132" s="1">
        <v>2</v>
      </c>
    </row>
    <row r="133" spans="1:12" x14ac:dyDescent="0.2">
      <c r="A133" s="1" t="s">
        <v>117</v>
      </c>
      <c r="B133" s="1" t="s">
        <v>111</v>
      </c>
      <c r="C133" s="1" t="s">
        <v>130</v>
      </c>
      <c r="F133" s="1">
        <v>0.4</v>
      </c>
      <c r="G133" s="1">
        <v>5.1989999999999998</v>
      </c>
      <c r="H133" s="1">
        <v>0</v>
      </c>
    </row>
    <row r="134" spans="1:12" x14ac:dyDescent="0.2">
      <c r="A134" s="1" t="s">
        <v>117</v>
      </c>
      <c r="B134" s="1" t="s">
        <v>111</v>
      </c>
      <c r="C134" s="1" t="s">
        <v>130</v>
      </c>
      <c r="F134" s="1">
        <v>0.5</v>
      </c>
      <c r="G134" s="1">
        <v>6.202</v>
      </c>
      <c r="H134" s="1">
        <v>1</v>
      </c>
      <c r="L134" s="1">
        <v>1</v>
      </c>
    </row>
    <row r="135" spans="1:12" x14ac:dyDescent="0.2">
      <c r="A135" s="1" t="s">
        <v>117</v>
      </c>
      <c r="B135" s="1" t="s">
        <v>111</v>
      </c>
      <c r="C135" s="1" t="s">
        <v>130</v>
      </c>
      <c r="F135" s="1">
        <v>0.6</v>
      </c>
      <c r="G135" s="1">
        <v>6.9240000000000004</v>
      </c>
      <c r="H135" s="1">
        <v>1</v>
      </c>
      <c r="L135" s="1">
        <v>1</v>
      </c>
    </row>
    <row r="136" spans="1:12" x14ac:dyDescent="0.2">
      <c r="A136" s="1" t="s">
        <v>117</v>
      </c>
      <c r="B136" s="1" t="s">
        <v>111</v>
      </c>
      <c r="C136" s="1" t="s">
        <v>130</v>
      </c>
      <c r="F136" s="1">
        <v>0.5</v>
      </c>
      <c r="G136" s="1">
        <v>5.9850000000000003</v>
      </c>
      <c r="H136" s="1">
        <v>1</v>
      </c>
      <c r="K136" s="1">
        <v>1</v>
      </c>
    </row>
    <row r="137" spans="1:12" x14ac:dyDescent="0.2">
      <c r="A137" s="1" t="s">
        <v>117</v>
      </c>
      <c r="B137" s="1" t="s">
        <v>111</v>
      </c>
      <c r="C137" s="1" t="s">
        <v>130</v>
      </c>
      <c r="F137" s="1">
        <v>0.4</v>
      </c>
      <c r="G137" s="1">
        <v>4.7809999999999997</v>
      </c>
      <c r="H137" s="1">
        <v>0</v>
      </c>
    </row>
    <row r="138" spans="1:12" x14ac:dyDescent="0.2">
      <c r="A138" s="1" t="s">
        <v>117</v>
      </c>
      <c r="B138" s="1" t="s">
        <v>111</v>
      </c>
      <c r="C138" s="1" t="s">
        <v>129</v>
      </c>
      <c r="F138" s="1">
        <v>1.5</v>
      </c>
      <c r="G138" s="1">
        <v>8.4580000000000002</v>
      </c>
      <c r="H138" s="1">
        <v>2</v>
      </c>
      <c r="L138" s="1">
        <v>2</v>
      </c>
    </row>
    <row r="139" spans="1:12" s="12" customFormat="1" x14ac:dyDescent="0.2">
      <c r="A139" s="12" t="s">
        <v>117</v>
      </c>
      <c r="B139" s="12" t="s">
        <v>111</v>
      </c>
      <c r="C139" s="12" t="s">
        <v>129</v>
      </c>
      <c r="F139" s="12">
        <v>1.9</v>
      </c>
      <c r="G139" s="12">
        <v>6.4029999999999996</v>
      </c>
      <c r="H139" s="12">
        <v>3</v>
      </c>
      <c r="L139" s="12">
        <v>3</v>
      </c>
    </row>
    <row r="140" spans="1:12" x14ac:dyDescent="0.2">
      <c r="A140" s="1" t="s">
        <v>131</v>
      </c>
      <c r="B140" s="1" t="s">
        <v>110</v>
      </c>
      <c r="C140" s="1" t="s">
        <v>9</v>
      </c>
      <c r="F140" s="1">
        <v>1.2</v>
      </c>
      <c r="G140" s="1">
        <v>6.3120000000000003</v>
      </c>
      <c r="H140" s="1">
        <v>0</v>
      </c>
    </row>
    <row r="141" spans="1:12" x14ac:dyDescent="0.2">
      <c r="C141" s="1" t="s">
        <v>10</v>
      </c>
      <c r="F141" s="1">
        <v>2.8</v>
      </c>
      <c r="G141" s="1">
        <v>9.08</v>
      </c>
      <c r="H141" s="1">
        <v>13</v>
      </c>
      <c r="L141" s="1">
        <v>13</v>
      </c>
    </row>
    <row r="142" spans="1:12" x14ac:dyDescent="0.2">
      <c r="C142" s="1" t="s">
        <v>129</v>
      </c>
      <c r="F142" s="1">
        <v>0.9</v>
      </c>
      <c r="G142" s="1">
        <v>6.3019999999999996</v>
      </c>
      <c r="H142" s="1">
        <v>1</v>
      </c>
      <c r="L142" s="1">
        <v>1</v>
      </c>
    </row>
    <row r="143" spans="1:12" x14ac:dyDescent="0.2">
      <c r="F143" s="1">
        <v>0.6</v>
      </c>
      <c r="G143" s="1">
        <v>6.0119999999999996</v>
      </c>
      <c r="H143" s="1">
        <v>1</v>
      </c>
      <c r="L143" s="1">
        <v>1</v>
      </c>
    </row>
    <row r="144" spans="1:12" x14ac:dyDescent="0.2">
      <c r="F144" s="1">
        <v>0.6</v>
      </c>
      <c r="G144" s="1">
        <v>5.5789999999999997</v>
      </c>
      <c r="H144" s="1">
        <v>0</v>
      </c>
    </row>
    <row r="145" spans="6:13" x14ac:dyDescent="0.2">
      <c r="F145" s="1">
        <v>0.9</v>
      </c>
      <c r="G145" s="1">
        <v>6.8</v>
      </c>
      <c r="H145" s="1">
        <v>1</v>
      </c>
      <c r="M145" s="1">
        <v>1</v>
      </c>
    </row>
    <row r="146" spans="6:13" x14ac:dyDescent="0.2">
      <c r="F146" s="1">
        <v>1.1000000000000001</v>
      </c>
      <c r="G146" s="1">
        <v>4.9669999999999996</v>
      </c>
      <c r="H146" s="1">
        <v>0</v>
      </c>
    </row>
    <row r="147" spans="6:13" x14ac:dyDescent="0.2">
      <c r="F147" s="1">
        <v>1.3</v>
      </c>
      <c r="G147" s="1">
        <v>6.0359999999999996</v>
      </c>
      <c r="H147" s="1">
        <v>0</v>
      </c>
    </row>
    <row r="148" spans="6:13" x14ac:dyDescent="0.2">
      <c r="F148" s="1">
        <v>1.2</v>
      </c>
      <c r="G148" s="1">
        <v>9.6419999999999995</v>
      </c>
      <c r="H148" s="1">
        <v>1</v>
      </c>
      <c r="L148" s="1">
        <v>1</v>
      </c>
    </row>
    <row r="149" spans="6:13" x14ac:dyDescent="0.2">
      <c r="F149" s="1">
        <v>1.2</v>
      </c>
      <c r="G149" s="1">
        <v>7.8129999999999997</v>
      </c>
      <c r="H149" s="1">
        <v>2</v>
      </c>
      <c r="L149" s="1">
        <v>2</v>
      </c>
    </row>
    <row r="150" spans="6:13" x14ac:dyDescent="0.2">
      <c r="F150" s="1">
        <v>2</v>
      </c>
      <c r="G150" s="1">
        <v>5.3220000000000001</v>
      </c>
      <c r="H150" s="1">
        <v>0</v>
      </c>
    </row>
    <row r="151" spans="6:13" x14ac:dyDescent="0.2">
      <c r="F151" s="1">
        <v>0.6</v>
      </c>
      <c r="G151" s="1">
        <v>5.1139999999999999</v>
      </c>
      <c r="H151" s="1">
        <v>1</v>
      </c>
      <c r="L151" s="1">
        <v>1</v>
      </c>
    </row>
    <row r="152" spans="6:13" x14ac:dyDescent="0.2">
      <c r="F152" s="1">
        <v>0.8</v>
      </c>
      <c r="G152" s="1">
        <v>5.444</v>
      </c>
      <c r="H152" s="1">
        <v>0</v>
      </c>
    </row>
    <row r="153" spans="6:13" x14ac:dyDescent="0.2">
      <c r="F153" s="1">
        <v>2.1</v>
      </c>
      <c r="G153" s="1">
        <v>5.9630000000000001</v>
      </c>
      <c r="H153" s="1">
        <v>4</v>
      </c>
      <c r="L153" s="1">
        <v>4</v>
      </c>
    </row>
    <row r="154" spans="6:13" x14ac:dyDescent="0.2">
      <c r="F154" s="1">
        <v>0.7</v>
      </c>
      <c r="G154" s="1">
        <v>4.8369999999999997</v>
      </c>
      <c r="H154" s="1">
        <v>2</v>
      </c>
      <c r="L154" s="1">
        <v>2</v>
      </c>
    </row>
    <row r="155" spans="6:13" x14ac:dyDescent="0.2">
      <c r="F155" s="1">
        <v>1.1000000000000001</v>
      </c>
      <c r="G155" s="1">
        <v>6.2549999999999999</v>
      </c>
      <c r="H155" s="1">
        <v>2</v>
      </c>
      <c r="L155" s="1">
        <v>2</v>
      </c>
    </row>
    <row r="156" spans="6:13" x14ac:dyDescent="0.2">
      <c r="F156" s="1">
        <v>2</v>
      </c>
      <c r="G156" s="1">
        <v>8.0980000000000008</v>
      </c>
      <c r="H156" s="1">
        <v>3</v>
      </c>
      <c r="L156" s="1">
        <v>3</v>
      </c>
    </row>
    <row r="157" spans="6:13" x14ac:dyDescent="0.2">
      <c r="F157" s="1">
        <v>2.2000000000000002</v>
      </c>
      <c r="G157" s="1">
        <v>7.4850000000000003</v>
      </c>
      <c r="H157" s="1">
        <v>4</v>
      </c>
      <c r="L157" s="1">
        <v>4</v>
      </c>
    </row>
    <row r="158" spans="6:13" x14ac:dyDescent="0.2">
      <c r="F158" s="1">
        <v>1</v>
      </c>
      <c r="G158" s="1">
        <v>6.484</v>
      </c>
      <c r="H158" s="1">
        <v>4</v>
      </c>
      <c r="L158" s="1">
        <v>4</v>
      </c>
    </row>
    <row r="159" spans="6:13" x14ac:dyDescent="0.2">
      <c r="F159" s="1">
        <v>1.3</v>
      </c>
      <c r="G159" s="1">
        <v>6.569</v>
      </c>
      <c r="H159" s="1">
        <v>2</v>
      </c>
      <c r="L159" s="1">
        <v>2</v>
      </c>
    </row>
    <row r="160" spans="6:13" x14ac:dyDescent="0.2">
      <c r="F160" s="1">
        <v>2.2999999999999998</v>
      </c>
      <c r="G160" s="1">
        <v>9.4320000000000004</v>
      </c>
      <c r="H160" s="1">
        <v>4</v>
      </c>
      <c r="L160" s="1">
        <v>3</v>
      </c>
      <c r="M160" s="1">
        <v>1</v>
      </c>
    </row>
    <row r="161" spans="1:14" x14ac:dyDescent="0.2">
      <c r="F161" s="1">
        <v>1.6</v>
      </c>
      <c r="G161" s="1">
        <v>9.0210000000000008</v>
      </c>
      <c r="H161" s="1">
        <v>0</v>
      </c>
    </row>
    <row r="162" spans="1:14" x14ac:dyDescent="0.2">
      <c r="F162" s="1">
        <v>1.3</v>
      </c>
      <c r="G162" s="1">
        <v>8.7720000000000002</v>
      </c>
      <c r="H162" s="1">
        <v>2</v>
      </c>
      <c r="L162" s="1">
        <v>2</v>
      </c>
    </row>
    <row r="163" spans="1:14" x14ac:dyDescent="0.2">
      <c r="A163" s="1" t="s">
        <v>131</v>
      </c>
      <c r="B163" s="1" t="s">
        <v>102</v>
      </c>
      <c r="C163" s="1" t="s">
        <v>9</v>
      </c>
      <c r="F163" s="1">
        <v>0.6</v>
      </c>
      <c r="G163" s="1">
        <v>5.0839999999999996</v>
      </c>
      <c r="H163" s="1">
        <v>1</v>
      </c>
      <c r="K163" s="1">
        <v>1</v>
      </c>
    </row>
    <row r="164" spans="1:14" x14ac:dyDescent="0.2">
      <c r="C164" s="1" t="s">
        <v>10</v>
      </c>
      <c r="F164" s="1">
        <v>2.2000000000000002</v>
      </c>
      <c r="G164" s="1">
        <v>9.2479999999999993</v>
      </c>
      <c r="H164" s="1">
        <v>0</v>
      </c>
    </row>
    <row r="165" spans="1:14" x14ac:dyDescent="0.2">
      <c r="C165" s="1" t="s">
        <v>103</v>
      </c>
      <c r="F165" s="1">
        <v>1.8</v>
      </c>
      <c r="G165" s="1">
        <v>8.4949999999999992</v>
      </c>
      <c r="H165" s="1">
        <v>0</v>
      </c>
    </row>
    <row r="166" spans="1:14" x14ac:dyDescent="0.2">
      <c r="F166" s="1">
        <v>0.9</v>
      </c>
      <c r="G166" s="1">
        <v>8.4179999999999993</v>
      </c>
      <c r="H166" s="1">
        <v>0</v>
      </c>
    </row>
    <row r="167" spans="1:14" x14ac:dyDescent="0.2">
      <c r="F167" s="1">
        <v>0.8</v>
      </c>
      <c r="G167" s="1">
        <v>4.0999999999999996</v>
      </c>
      <c r="H167" s="1">
        <v>1</v>
      </c>
      <c r="N167" s="1">
        <v>1</v>
      </c>
    </row>
    <row r="168" spans="1:14" x14ac:dyDescent="0.2">
      <c r="F168" s="1">
        <v>1.4</v>
      </c>
      <c r="G168" s="1">
        <v>8.4339999999999993</v>
      </c>
      <c r="H168" s="1">
        <v>0</v>
      </c>
    </row>
    <row r="169" spans="1:14" x14ac:dyDescent="0.2">
      <c r="F169" s="1">
        <v>1.3</v>
      </c>
      <c r="G169" s="1">
        <v>7.3070000000000004</v>
      </c>
      <c r="H169" s="1">
        <v>2</v>
      </c>
      <c r="N169" s="1">
        <v>2</v>
      </c>
    </row>
    <row r="170" spans="1:14" x14ac:dyDescent="0.2">
      <c r="F170" s="1">
        <v>1.4</v>
      </c>
      <c r="G170" s="1">
        <v>4.3949999999999996</v>
      </c>
      <c r="H170" s="1">
        <v>3</v>
      </c>
      <c r="N170" s="1">
        <v>3</v>
      </c>
    </row>
    <row r="171" spans="1:14" x14ac:dyDescent="0.2">
      <c r="F171" s="1">
        <v>0.5</v>
      </c>
      <c r="G171" s="1">
        <v>4.7809999999999997</v>
      </c>
      <c r="H171" s="1">
        <v>1</v>
      </c>
      <c r="N171" s="1">
        <v>1</v>
      </c>
    </row>
    <row r="172" spans="1:14" x14ac:dyDescent="0.2">
      <c r="F172" s="1">
        <v>0.4</v>
      </c>
      <c r="G172" s="1">
        <v>4.1369999999999996</v>
      </c>
      <c r="H172" s="1">
        <v>0</v>
      </c>
    </row>
    <row r="173" spans="1:14" x14ac:dyDescent="0.2">
      <c r="F173" s="1">
        <v>0.6</v>
      </c>
      <c r="G173" s="1">
        <v>5.1870000000000003</v>
      </c>
      <c r="H173" s="1">
        <v>0</v>
      </c>
    </row>
    <row r="174" spans="1:14" x14ac:dyDescent="0.2">
      <c r="F174" s="1">
        <v>2.1</v>
      </c>
      <c r="G174" s="1">
        <v>8.3659999999999997</v>
      </c>
      <c r="H174" s="1">
        <v>2</v>
      </c>
      <c r="N174" s="1">
        <v>2</v>
      </c>
    </row>
    <row r="175" spans="1:14" x14ac:dyDescent="0.2">
      <c r="F175" s="1">
        <v>1.1000000000000001</v>
      </c>
      <c r="G175" s="1">
        <v>9.2590000000000003</v>
      </c>
      <c r="H175" s="1">
        <v>2</v>
      </c>
      <c r="N175" s="1">
        <v>2</v>
      </c>
    </row>
    <row r="176" spans="1:14" x14ac:dyDescent="0.2">
      <c r="A176" s="1" t="s">
        <v>131</v>
      </c>
      <c r="B176" s="1" t="s">
        <v>88</v>
      </c>
      <c r="C176" s="1" t="s">
        <v>103</v>
      </c>
      <c r="F176" s="1">
        <v>0.4</v>
      </c>
      <c r="G176" s="1">
        <v>3.3010000000000002</v>
      </c>
      <c r="H176" s="1">
        <v>0</v>
      </c>
    </row>
    <row r="177" spans="1:14" x14ac:dyDescent="0.2">
      <c r="F177" s="1">
        <v>0.5</v>
      </c>
      <c r="G177" s="1">
        <v>4.7969999999999997</v>
      </c>
      <c r="H177" s="1">
        <v>1</v>
      </c>
      <c r="N177" s="1">
        <v>1</v>
      </c>
    </row>
    <row r="178" spans="1:14" x14ac:dyDescent="0.2">
      <c r="F178" s="1">
        <v>0.5</v>
      </c>
      <c r="G178" s="1">
        <v>4.1260000000000003</v>
      </c>
      <c r="H178" s="1">
        <v>1</v>
      </c>
      <c r="N178" s="1">
        <v>1</v>
      </c>
    </row>
    <row r="179" spans="1:14" x14ac:dyDescent="0.2">
      <c r="F179" s="1">
        <v>0.7</v>
      </c>
      <c r="G179" s="1">
        <v>5.4390000000000001</v>
      </c>
      <c r="H179" s="1">
        <v>0</v>
      </c>
    </row>
    <row r="180" spans="1:14" x14ac:dyDescent="0.2">
      <c r="F180" s="1">
        <v>0.7</v>
      </c>
      <c r="G180" s="1">
        <v>5.4390000000000001</v>
      </c>
      <c r="H180" s="1">
        <v>1</v>
      </c>
      <c r="N180" s="1">
        <v>1</v>
      </c>
    </row>
    <row r="181" spans="1:14" x14ac:dyDescent="0.2">
      <c r="F181" s="1">
        <v>1.1000000000000001</v>
      </c>
      <c r="G181" s="1">
        <v>7.2169999999999996</v>
      </c>
      <c r="H181" s="1">
        <v>1</v>
      </c>
      <c r="L181" s="1">
        <v>1</v>
      </c>
    </row>
    <row r="182" spans="1:14" x14ac:dyDescent="0.2">
      <c r="F182" s="1">
        <v>1.4</v>
      </c>
      <c r="G182" s="1">
        <v>7.2969999999999997</v>
      </c>
      <c r="H182" s="1">
        <v>2</v>
      </c>
      <c r="L182" s="1">
        <v>2</v>
      </c>
    </row>
    <row r="183" spans="1:14" x14ac:dyDescent="0.2">
      <c r="F183" s="1">
        <v>0.6</v>
      </c>
      <c r="G183" s="1">
        <v>7.5039999999999996</v>
      </c>
      <c r="H183" s="1">
        <v>1</v>
      </c>
      <c r="L183" s="1">
        <v>1</v>
      </c>
    </row>
    <row r="184" spans="1:14" x14ac:dyDescent="0.2">
      <c r="F184" s="1">
        <v>0.7</v>
      </c>
      <c r="G184" s="1">
        <v>6.3029999999999999</v>
      </c>
      <c r="H184" s="1">
        <v>0</v>
      </c>
    </row>
    <row r="185" spans="1:14" x14ac:dyDescent="0.2">
      <c r="A185" s="1" t="s">
        <v>131</v>
      </c>
      <c r="B185" s="1" t="s">
        <v>110</v>
      </c>
      <c r="C185" s="1" t="s">
        <v>103</v>
      </c>
      <c r="F185" s="1">
        <v>0.6</v>
      </c>
      <c r="G185" s="1">
        <v>6.8150000000000004</v>
      </c>
      <c r="H185" s="1">
        <v>2</v>
      </c>
      <c r="L185" s="1">
        <v>2</v>
      </c>
    </row>
    <row r="186" spans="1:14" x14ac:dyDescent="0.2">
      <c r="F186" s="1">
        <v>1.2</v>
      </c>
      <c r="G186" s="1">
        <v>8.468</v>
      </c>
      <c r="H186" s="1">
        <v>2</v>
      </c>
      <c r="L186" s="1">
        <v>1</v>
      </c>
      <c r="N186" s="1">
        <v>1</v>
      </c>
    </row>
    <row r="187" spans="1:14" x14ac:dyDescent="0.2">
      <c r="F187" s="1">
        <v>1.1000000000000001</v>
      </c>
      <c r="G187" s="1">
        <v>6.25</v>
      </c>
      <c r="H187" s="1">
        <v>1</v>
      </c>
      <c r="M187" s="1">
        <v>1</v>
      </c>
    </row>
    <row r="188" spans="1:14" x14ac:dyDescent="0.2">
      <c r="F188" s="1">
        <v>1.6</v>
      </c>
      <c r="G188" s="1">
        <v>5.7489999999999997</v>
      </c>
      <c r="H188" s="1">
        <v>5</v>
      </c>
      <c r="L188" s="1">
        <v>4</v>
      </c>
      <c r="N188" s="1">
        <v>1</v>
      </c>
    </row>
    <row r="189" spans="1:14" x14ac:dyDescent="0.2">
      <c r="F189" s="1">
        <v>1.1000000000000001</v>
      </c>
      <c r="G189" s="1">
        <v>5.1100000000000003</v>
      </c>
      <c r="H189" s="1">
        <v>0</v>
      </c>
    </row>
    <row r="190" spans="1:14" x14ac:dyDescent="0.2">
      <c r="A190" s="1" t="s">
        <v>131</v>
      </c>
      <c r="B190" s="1" t="s">
        <v>111</v>
      </c>
      <c r="C190" s="1" t="s">
        <v>103</v>
      </c>
      <c r="F190" s="1">
        <v>0.8</v>
      </c>
      <c r="G190" s="1">
        <v>4.8890000000000002</v>
      </c>
      <c r="H190" s="1">
        <v>3</v>
      </c>
      <c r="L190" s="1">
        <v>3</v>
      </c>
    </row>
    <row r="191" spans="1:14" x14ac:dyDescent="0.2">
      <c r="F191" s="1">
        <v>0.9</v>
      </c>
      <c r="G191" s="1">
        <v>3.9140000000000001</v>
      </c>
      <c r="H191" s="1">
        <v>1</v>
      </c>
      <c r="L191" s="1">
        <v>1</v>
      </c>
    </row>
    <row r="192" spans="1:14" x14ac:dyDescent="0.2">
      <c r="F192" s="1">
        <v>0.5</v>
      </c>
      <c r="G192" s="1">
        <v>4.2050000000000001</v>
      </c>
      <c r="H192" s="1">
        <v>1</v>
      </c>
      <c r="L192" s="1">
        <v>1</v>
      </c>
    </row>
    <row r="193" spans="1:14" x14ac:dyDescent="0.2">
      <c r="F193" s="1">
        <v>1.2</v>
      </c>
      <c r="G193" s="1">
        <v>3.9460000000000002</v>
      </c>
      <c r="H193" s="1">
        <v>2</v>
      </c>
      <c r="L193" s="1">
        <v>2</v>
      </c>
    </row>
    <row r="194" spans="1:14" x14ac:dyDescent="0.2">
      <c r="F194" s="1">
        <v>1.2</v>
      </c>
      <c r="G194" s="1">
        <v>5.8730000000000002</v>
      </c>
      <c r="H194" s="1">
        <v>3</v>
      </c>
      <c r="L194" s="1">
        <v>3</v>
      </c>
    </row>
    <row r="195" spans="1:14" x14ac:dyDescent="0.2">
      <c r="F195" s="1">
        <v>1.5</v>
      </c>
      <c r="G195" s="1">
        <v>6.4740000000000002</v>
      </c>
      <c r="H195" s="1">
        <v>4</v>
      </c>
      <c r="L195" s="1">
        <v>4</v>
      </c>
    </row>
    <row r="196" spans="1:14" x14ac:dyDescent="0.2">
      <c r="F196" s="1">
        <v>0.6</v>
      </c>
      <c r="G196" s="1">
        <v>6.0880000000000001</v>
      </c>
      <c r="H196" s="1">
        <v>0</v>
      </c>
    </row>
    <row r="197" spans="1:14" x14ac:dyDescent="0.2">
      <c r="F197" s="1">
        <v>1.5</v>
      </c>
      <c r="G197" s="1">
        <v>5.14</v>
      </c>
      <c r="H197" s="1">
        <v>0</v>
      </c>
    </row>
    <row r="198" spans="1:14" x14ac:dyDescent="0.2">
      <c r="F198" s="1">
        <v>1.2</v>
      </c>
      <c r="G198" s="1">
        <v>6.7080000000000002</v>
      </c>
      <c r="H198" s="1">
        <v>3</v>
      </c>
      <c r="L198" s="1">
        <v>3</v>
      </c>
    </row>
    <row r="199" spans="1:14" x14ac:dyDescent="0.2">
      <c r="F199" s="1">
        <v>1</v>
      </c>
      <c r="G199" s="1">
        <v>4.71</v>
      </c>
      <c r="H199" s="1">
        <v>1</v>
      </c>
    </row>
    <row r="200" spans="1:14" x14ac:dyDescent="0.2">
      <c r="F200" s="1" t="s">
        <v>133</v>
      </c>
    </row>
    <row r="201" spans="1:14" x14ac:dyDescent="0.2">
      <c r="A201" s="1" t="s">
        <v>136</v>
      </c>
      <c r="B201" s="1" t="s">
        <v>92</v>
      </c>
      <c r="C201" s="1" t="s">
        <v>9</v>
      </c>
      <c r="F201" s="1">
        <v>1</v>
      </c>
      <c r="G201" s="1">
        <v>5.7510000000000003</v>
      </c>
      <c r="H201" s="1">
        <v>0</v>
      </c>
    </row>
    <row r="202" spans="1:14" x14ac:dyDescent="0.2">
      <c r="F202" s="1">
        <v>0.6</v>
      </c>
      <c r="G202" s="1">
        <v>4.83</v>
      </c>
      <c r="H202" s="1">
        <v>1</v>
      </c>
      <c r="N202" s="1">
        <v>1</v>
      </c>
    </row>
    <row r="203" spans="1:14" x14ac:dyDescent="0.2">
      <c r="C203" s="1" t="s">
        <v>10</v>
      </c>
      <c r="F203" s="1">
        <v>0.5</v>
      </c>
      <c r="G203" s="1">
        <v>6.0819999999999999</v>
      </c>
      <c r="H203" s="1">
        <v>0</v>
      </c>
    </row>
    <row r="204" spans="1:14" x14ac:dyDescent="0.2">
      <c r="C204" s="1" t="s">
        <v>12</v>
      </c>
      <c r="F204" s="1">
        <v>1.6</v>
      </c>
      <c r="G204" s="1">
        <v>7.7119999999999997</v>
      </c>
      <c r="H204" s="1">
        <v>0</v>
      </c>
    </row>
    <row r="205" spans="1:14" x14ac:dyDescent="0.2">
      <c r="A205" s="1" t="s">
        <v>136</v>
      </c>
      <c r="B205" s="1" t="s">
        <v>110</v>
      </c>
      <c r="C205" s="1" t="s">
        <v>9</v>
      </c>
      <c r="F205" s="1">
        <v>1.2</v>
      </c>
      <c r="G205" s="1">
        <v>7.73</v>
      </c>
      <c r="H205" s="1">
        <v>2</v>
      </c>
      <c r="L205" s="1">
        <v>2</v>
      </c>
    </row>
    <row r="206" spans="1:14" x14ac:dyDescent="0.2">
      <c r="A206" s="1" t="s">
        <v>136</v>
      </c>
      <c r="B206" s="1" t="s">
        <v>110</v>
      </c>
      <c r="C206" s="1" t="s">
        <v>9</v>
      </c>
      <c r="F206" s="1">
        <v>0.6</v>
      </c>
      <c r="G206" s="1">
        <v>6.21</v>
      </c>
      <c r="H206" s="1">
        <v>0</v>
      </c>
    </row>
    <row r="207" spans="1:14" x14ac:dyDescent="0.2">
      <c r="A207" s="1" t="s">
        <v>136</v>
      </c>
      <c r="B207" s="1" t="s">
        <v>110</v>
      </c>
      <c r="C207" s="1" t="s">
        <v>9</v>
      </c>
      <c r="F207" s="1">
        <v>0.7</v>
      </c>
      <c r="G207" s="1">
        <v>4.46</v>
      </c>
      <c r="H207" s="1">
        <v>0</v>
      </c>
    </row>
    <row r="208" spans="1:14" x14ac:dyDescent="0.2">
      <c r="A208" s="1" t="s">
        <v>136</v>
      </c>
      <c r="B208" s="1" t="s">
        <v>110</v>
      </c>
      <c r="C208" s="1" t="s">
        <v>9</v>
      </c>
      <c r="F208" s="1">
        <v>1.4</v>
      </c>
      <c r="G208" s="1">
        <v>6.27</v>
      </c>
      <c r="H208" s="1">
        <v>5</v>
      </c>
    </row>
    <row r="209" spans="1:13" x14ac:dyDescent="0.2">
      <c r="A209" s="1" t="s">
        <v>136</v>
      </c>
      <c r="B209" s="1" t="s">
        <v>110</v>
      </c>
      <c r="C209" s="1" t="s">
        <v>9</v>
      </c>
      <c r="F209" s="1">
        <v>0.9</v>
      </c>
      <c r="G209" s="1">
        <v>6.68</v>
      </c>
      <c r="H209" s="1">
        <v>2</v>
      </c>
      <c r="L209" s="1">
        <v>2</v>
      </c>
    </row>
    <row r="210" spans="1:13" x14ac:dyDescent="0.2">
      <c r="A210" s="1" t="s">
        <v>136</v>
      </c>
      <c r="B210" s="1" t="s">
        <v>110</v>
      </c>
      <c r="C210" s="1" t="s">
        <v>9</v>
      </c>
      <c r="F210" s="1">
        <v>0.7</v>
      </c>
      <c r="G210" s="1">
        <v>6.38</v>
      </c>
      <c r="H210" s="1">
        <v>0</v>
      </c>
    </row>
    <row r="211" spans="1:13" x14ac:dyDescent="0.2">
      <c r="A211" s="1" t="s">
        <v>136</v>
      </c>
      <c r="B211" s="1" t="s">
        <v>110</v>
      </c>
      <c r="C211" s="1" t="s">
        <v>9</v>
      </c>
      <c r="F211" s="1">
        <v>1.6</v>
      </c>
      <c r="G211" s="1">
        <v>6.83</v>
      </c>
      <c r="H211" s="1">
        <v>3</v>
      </c>
      <c r="L211" s="1">
        <v>3</v>
      </c>
    </row>
    <row r="212" spans="1:13" x14ac:dyDescent="0.2">
      <c r="A212" s="1" t="s">
        <v>136</v>
      </c>
      <c r="B212" s="1" t="s">
        <v>110</v>
      </c>
      <c r="C212" s="1" t="s">
        <v>10</v>
      </c>
      <c r="F212" s="1">
        <v>0.9</v>
      </c>
      <c r="G212" s="1">
        <v>4.29</v>
      </c>
      <c r="H212" s="1">
        <v>0</v>
      </c>
    </row>
    <row r="213" spans="1:13" x14ac:dyDescent="0.2">
      <c r="A213" s="1" t="s">
        <v>136</v>
      </c>
      <c r="B213" s="1" t="s">
        <v>110</v>
      </c>
      <c r="C213" s="1" t="s">
        <v>9</v>
      </c>
      <c r="F213" s="1">
        <v>0.6</v>
      </c>
      <c r="G213" s="1">
        <v>4.82</v>
      </c>
      <c r="H213" s="1">
        <v>0</v>
      </c>
    </row>
    <row r="214" spans="1:13" x14ac:dyDescent="0.2">
      <c r="A214" s="1" t="s">
        <v>136</v>
      </c>
      <c r="B214" s="1" t="s">
        <v>110</v>
      </c>
      <c r="C214" s="1" t="s">
        <v>103</v>
      </c>
      <c r="F214" s="1">
        <v>0.5</v>
      </c>
      <c r="G214" s="1">
        <v>4.3899999999999997</v>
      </c>
      <c r="H214" s="1">
        <v>0</v>
      </c>
    </row>
    <row r="215" spans="1:13" x14ac:dyDescent="0.2">
      <c r="A215" s="1" t="s">
        <v>136</v>
      </c>
      <c r="B215" s="1" t="s">
        <v>110</v>
      </c>
      <c r="C215" s="1" t="s">
        <v>103</v>
      </c>
      <c r="F215" s="1">
        <v>0.4</v>
      </c>
      <c r="G215" s="1">
        <v>4.12</v>
      </c>
      <c r="H215" s="1">
        <v>0</v>
      </c>
    </row>
    <row r="216" spans="1:13" x14ac:dyDescent="0.2">
      <c r="A216" s="1" t="s">
        <v>136</v>
      </c>
      <c r="B216" s="1" t="s">
        <v>110</v>
      </c>
      <c r="C216" s="1" t="s">
        <v>105</v>
      </c>
      <c r="F216" s="1">
        <v>0.4</v>
      </c>
      <c r="G216" s="1">
        <v>5.8010000000000002</v>
      </c>
      <c r="H216" s="1">
        <v>0</v>
      </c>
    </row>
    <row r="217" spans="1:13" x14ac:dyDescent="0.2">
      <c r="A217" s="1" t="s">
        <v>136</v>
      </c>
      <c r="B217" s="1" t="s">
        <v>110</v>
      </c>
      <c r="C217" s="1" t="s">
        <v>105</v>
      </c>
      <c r="F217" s="1">
        <v>0.7</v>
      </c>
      <c r="G217" s="1">
        <v>6.7149999999999999</v>
      </c>
      <c r="H217" s="1">
        <v>3</v>
      </c>
      <c r="L217" s="1">
        <v>1</v>
      </c>
      <c r="M217" s="1">
        <v>2</v>
      </c>
    </row>
    <row r="218" spans="1:13" x14ac:dyDescent="0.2">
      <c r="A218" s="1" t="s">
        <v>136</v>
      </c>
      <c r="B218" s="1" t="s">
        <v>110</v>
      </c>
      <c r="C218" s="1" t="s">
        <v>105</v>
      </c>
      <c r="F218" s="1">
        <v>0.7</v>
      </c>
      <c r="G218" s="1">
        <v>6.83</v>
      </c>
      <c r="H218" s="1">
        <v>1</v>
      </c>
      <c r="L218" s="1">
        <v>1</v>
      </c>
    </row>
    <row r="219" spans="1:13" x14ac:dyDescent="0.2">
      <c r="A219" s="1" t="s">
        <v>136</v>
      </c>
      <c r="B219" s="1" t="s">
        <v>110</v>
      </c>
      <c r="C219" s="1" t="s">
        <v>105</v>
      </c>
      <c r="F219" s="1">
        <v>0.6</v>
      </c>
      <c r="G219" s="1">
        <v>6.0149999999999997</v>
      </c>
      <c r="H219" s="1">
        <v>1</v>
      </c>
      <c r="L219" s="1">
        <v>1</v>
      </c>
    </row>
    <row r="220" spans="1:13" x14ac:dyDescent="0.2">
      <c r="A220" s="1" t="s">
        <v>136</v>
      </c>
      <c r="B220" s="1" t="s">
        <v>114</v>
      </c>
      <c r="C220" s="1" t="s">
        <v>9</v>
      </c>
      <c r="F220" s="1">
        <v>2</v>
      </c>
      <c r="G220" s="1">
        <v>10.91</v>
      </c>
      <c r="H220" s="1">
        <v>4</v>
      </c>
      <c r="L220" s="1">
        <v>4</v>
      </c>
    </row>
    <row r="221" spans="1:13" x14ac:dyDescent="0.2">
      <c r="A221" s="1" t="s">
        <v>136</v>
      </c>
      <c r="B221" s="1" t="s">
        <v>114</v>
      </c>
      <c r="C221" s="1" t="s">
        <v>103</v>
      </c>
      <c r="F221" s="1">
        <v>1.8</v>
      </c>
      <c r="G221" s="1">
        <v>12.33</v>
      </c>
      <c r="H221" s="1">
        <v>8</v>
      </c>
      <c r="L221" s="1">
        <v>8</v>
      </c>
    </row>
    <row r="222" spans="1:13" x14ac:dyDescent="0.2">
      <c r="A222" s="1" t="s">
        <v>136</v>
      </c>
      <c r="B222" s="1" t="s">
        <v>114</v>
      </c>
      <c r="C222" s="1" t="s">
        <v>103</v>
      </c>
      <c r="F222" s="1">
        <v>0.8</v>
      </c>
      <c r="G222" s="1">
        <v>7.06</v>
      </c>
      <c r="H222" s="1">
        <v>0</v>
      </c>
    </row>
    <row r="223" spans="1:13" x14ac:dyDescent="0.2">
      <c r="A223" s="1" t="s">
        <v>136</v>
      </c>
      <c r="B223" s="1" t="s">
        <v>114</v>
      </c>
      <c r="C223" s="1" t="s">
        <v>103</v>
      </c>
      <c r="F223" s="1">
        <v>0.5</v>
      </c>
      <c r="G223" s="1">
        <v>4.9000000000000004</v>
      </c>
      <c r="H223" s="1">
        <v>1</v>
      </c>
      <c r="L223" s="1">
        <v>1</v>
      </c>
    </row>
    <row r="224" spans="1:13" x14ac:dyDescent="0.2">
      <c r="A224" s="1" t="s">
        <v>136</v>
      </c>
      <c r="B224" s="1" t="s">
        <v>114</v>
      </c>
      <c r="C224" s="1" t="s">
        <v>103</v>
      </c>
      <c r="F224" s="1">
        <v>1.2</v>
      </c>
      <c r="G224" s="1">
        <v>7.86</v>
      </c>
      <c r="H224" s="1">
        <v>1</v>
      </c>
      <c r="L224" s="1">
        <v>1</v>
      </c>
    </row>
    <row r="225" spans="1:14" x14ac:dyDescent="0.2">
      <c r="A225" s="1" t="s">
        <v>136</v>
      </c>
      <c r="B225" s="1" t="s">
        <v>114</v>
      </c>
      <c r="C225" s="1" t="s">
        <v>103</v>
      </c>
      <c r="F225" s="1">
        <v>1.5</v>
      </c>
      <c r="G225" s="1">
        <v>10.51</v>
      </c>
      <c r="H225" s="1">
        <v>2</v>
      </c>
      <c r="L225" s="1">
        <v>2</v>
      </c>
    </row>
    <row r="226" spans="1:14" x14ac:dyDescent="0.2">
      <c r="A226" s="1" t="s">
        <v>136</v>
      </c>
      <c r="B226" s="1" t="s">
        <v>114</v>
      </c>
      <c r="C226" s="1" t="s">
        <v>103</v>
      </c>
      <c r="F226" s="1">
        <v>1.3</v>
      </c>
      <c r="G226" s="1">
        <v>4.3099999999999996</v>
      </c>
      <c r="H226" s="1">
        <v>3</v>
      </c>
      <c r="L226" s="1">
        <v>3</v>
      </c>
    </row>
    <row r="227" spans="1:14" x14ac:dyDescent="0.2">
      <c r="A227" s="1" t="s">
        <v>136</v>
      </c>
      <c r="B227" s="1" t="s">
        <v>114</v>
      </c>
      <c r="C227" s="1" t="s">
        <v>103</v>
      </c>
      <c r="F227" s="1">
        <v>2.1</v>
      </c>
      <c r="G227" s="1">
        <v>7.4</v>
      </c>
      <c r="H227" s="1">
        <v>7</v>
      </c>
      <c r="L227" s="1">
        <v>7</v>
      </c>
    </row>
    <row r="228" spans="1:14" x14ac:dyDescent="0.2">
      <c r="A228" s="1" t="s">
        <v>136</v>
      </c>
      <c r="B228" s="1" t="s">
        <v>114</v>
      </c>
      <c r="C228" s="1" t="s">
        <v>105</v>
      </c>
      <c r="F228" s="1">
        <v>2</v>
      </c>
      <c r="G228" s="1">
        <v>10.71</v>
      </c>
      <c r="H228" s="1">
        <v>14</v>
      </c>
      <c r="L228" s="1">
        <v>14</v>
      </c>
    </row>
    <row r="229" spans="1:14" x14ac:dyDescent="0.2">
      <c r="A229" s="1" t="s">
        <v>136</v>
      </c>
      <c r="B229" s="1" t="s">
        <v>114</v>
      </c>
      <c r="C229" s="1" t="s">
        <v>105</v>
      </c>
      <c r="F229" s="1">
        <v>1.1000000000000001</v>
      </c>
      <c r="G229" s="1">
        <v>8.0500000000000007</v>
      </c>
      <c r="H229" s="1">
        <v>4</v>
      </c>
      <c r="J229" s="1">
        <v>1</v>
      </c>
      <c r="L229" s="1">
        <v>3</v>
      </c>
    </row>
    <row r="230" spans="1:14" x14ac:dyDescent="0.2">
      <c r="A230" s="1" t="s">
        <v>136</v>
      </c>
      <c r="B230" s="1" t="s">
        <v>114</v>
      </c>
      <c r="C230" s="1" t="s">
        <v>105</v>
      </c>
      <c r="F230" s="1">
        <v>0.9</v>
      </c>
      <c r="G230" s="1">
        <v>6.41</v>
      </c>
      <c r="H230" s="1">
        <v>0</v>
      </c>
    </row>
    <row r="231" spans="1:14" x14ac:dyDescent="0.2">
      <c r="A231" s="1" t="s">
        <v>136</v>
      </c>
      <c r="B231" s="1" t="s">
        <v>114</v>
      </c>
      <c r="C231" s="1" t="s">
        <v>105</v>
      </c>
      <c r="F231" s="1">
        <v>2.9</v>
      </c>
      <c r="G231" s="1">
        <v>7.55</v>
      </c>
      <c r="H231" s="1">
        <v>3</v>
      </c>
      <c r="L231" s="1">
        <v>3</v>
      </c>
    </row>
    <row r="232" spans="1:14" x14ac:dyDescent="0.2">
      <c r="A232" s="1" t="s">
        <v>136</v>
      </c>
      <c r="B232" s="1" t="s">
        <v>114</v>
      </c>
      <c r="C232" s="1" t="s">
        <v>105</v>
      </c>
      <c r="F232" s="1">
        <v>2.5</v>
      </c>
      <c r="G232" s="1">
        <v>10.54</v>
      </c>
      <c r="H232" s="1">
        <v>7</v>
      </c>
      <c r="L232" s="1">
        <v>7</v>
      </c>
    </row>
    <row r="233" spans="1:14" x14ac:dyDescent="0.2">
      <c r="A233" s="1" t="s">
        <v>136</v>
      </c>
      <c r="B233" s="1" t="s">
        <v>114</v>
      </c>
      <c r="C233" s="1" t="s">
        <v>105</v>
      </c>
      <c r="F233" s="1">
        <v>1.5</v>
      </c>
      <c r="G233" s="1">
        <v>7.44</v>
      </c>
      <c r="H233" s="1">
        <v>3</v>
      </c>
      <c r="L233" s="1">
        <v>2</v>
      </c>
      <c r="M233" s="1">
        <v>1</v>
      </c>
    </row>
    <row r="234" spans="1:14" x14ac:dyDescent="0.2">
      <c r="A234" s="1" t="s">
        <v>136</v>
      </c>
      <c r="B234" s="1" t="s">
        <v>114</v>
      </c>
      <c r="C234" s="1" t="s">
        <v>105</v>
      </c>
      <c r="F234" s="1">
        <v>0.5</v>
      </c>
      <c r="G234" s="1">
        <v>5.73</v>
      </c>
      <c r="H234" s="1">
        <v>0</v>
      </c>
    </row>
    <row r="235" spans="1:14" x14ac:dyDescent="0.2">
      <c r="F235" s="1">
        <v>2.8</v>
      </c>
      <c r="G235" s="1">
        <v>9.16</v>
      </c>
      <c r="H235" s="1">
        <v>4</v>
      </c>
      <c r="N235" s="1">
        <v>4</v>
      </c>
    </row>
    <row r="236" spans="1:14" x14ac:dyDescent="0.2">
      <c r="F236" s="1">
        <v>3</v>
      </c>
      <c r="G236" s="1">
        <v>10.39</v>
      </c>
      <c r="H236" s="1">
        <v>9</v>
      </c>
      <c r="L236" s="1">
        <v>9</v>
      </c>
    </row>
    <row r="237" spans="1:14" x14ac:dyDescent="0.2">
      <c r="F237" s="1">
        <v>2.6</v>
      </c>
      <c r="G237" s="1">
        <v>10.38</v>
      </c>
      <c r="H237" s="1">
        <v>13</v>
      </c>
      <c r="L237" s="1">
        <v>13</v>
      </c>
    </row>
    <row r="238" spans="1:14" x14ac:dyDescent="0.2">
      <c r="F238" s="1">
        <v>2.7</v>
      </c>
      <c r="G238" s="1">
        <v>10.91</v>
      </c>
      <c r="L238" s="1">
        <v>11</v>
      </c>
    </row>
    <row r="239" spans="1:14" x14ac:dyDescent="0.2">
      <c r="F239" s="1">
        <v>0.4</v>
      </c>
      <c r="G239" s="1">
        <v>5.14</v>
      </c>
      <c r="N239" s="1">
        <v>1</v>
      </c>
    </row>
    <row r="240" spans="1:14" x14ac:dyDescent="0.2">
      <c r="F240" s="1">
        <v>2.4</v>
      </c>
      <c r="G240" s="1">
        <v>10.88</v>
      </c>
      <c r="L240" s="1">
        <v>6</v>
      </c>
    </row>
    <row r="241" spans="6:14" x14ac:dyDescent="0.2">
      <c r="F241" s="1">
        <v>3.3</v>
      </c>
      <c r="G241" s="1">
        <v>9.16</v>
      </c>
      <c r="L241" s="1">
        <v>11</v>
      </c>
    </row>
    <row r="242" spans="6:14" x14ac:dyDescent="0.2">
      <c r="F242" s="1">
        <v>2.2000000000000002</v>
      </c>
      <c r="G242" s="1">
        <v>9.2799999999999994</v>
      </c>
      <c r="L242" s="1">
        <v>5</v>
      </c>
    </row>
    <row r="243" spans="6:14" x14ac:dyDescent="0.2">
      <c r="F243" s="1">
        <v>2</v>
      </c>
      <c r="G243" s="1">
        <v>8.81</v>
      </c>
      <c r="L243" s="1">
        <v>3</v>
      </c>
    </row>
    <row r="244" spans="6:14" x14ac:dyDescent="0.2">
      <c r="F244" s="1">
        <v>1</v>
      </c>
      <c r="G244" s="1">
        <v>9.6999999999999993</v>
      </c>
      <c r="L244" s="1">
        <v>3</v>
      </c>
    </row>
    <row r="245" spans="6:14" x14ac:dyDescent="0.2">
      <c r="F245" s="1">
        <v>0.7</v>
      </c>
      <c r="G245" s="1">
        <v>4.51</v>
      </c>
      <c r="L245" s="1">
        <v>1</v>
      </c>
    </row>
    <row r="246" spans="6:14" x14ac:dyDescent="0.2">
      <c r="F246" s="1">
        <v>1.8</v>
      </c>
      <c r="G246" s="1">
        <v>9.42</v>
      </c>
      <c r="M246" s="1">
        <v>5</v>
      </c>
      <c r="N246" s="1">
        <v>1</v>
      </c>
    </row>
    <row r="247" spans="6:14" x14ac:dyDescent="0.2">
      <c r="F247" s="1">
        <v>1.8</v>
      </c>
      <c r="G247" s="1">
        <v>5.96</v>
      </c>
      <c r="L247" s="1">
        <v>2</v>
      </c>
    </row>
    <row r="248" spans="6:14" x14ac:dyDescent="0.2">
      <c r="F248" s="1">
        <v>1.5</v>
      </c>
      <c r="G248" s="1">
        <v>8.6</v>
      </c>
      <c r="L248" s="1">
        <v>7</v>
      </c>
    </row>
    <row r="249" spans="6:14" x14ac:dyDescent="0.2">
      <c r="F249" s="1">
        <v>1.6</v>
      </c>
      <c r="G249" s="1">
        <v>7.39</v>
      </c>
      <c r="M249" s="1">
        <v>3</v>
      </c>
      <c r="N249" s="1">
        <v>1</v>
      </c>
    </row>
    <row r="250" spans="6:14" x14ac:dyDescent="0.2">
      <c r="F250" s="1">
        <v>1.3</v>
      </c>
      <c r="G250" s="1">
        <v>9.02</v>
      </c>
      <c r="L250" s="1">
        <v>6</v>
      </c>
    </row>
    <row r="251" spans="6:14" x14ac:dyDescent="0.2">
      <c r="F251" s="1">
        <v>1</v>
      </c>
      <c r="G251" s="1">
        <v>7.82</v>
      </c>
      <c r="L251" s="1">
        <v>4</v>
      </c>
    </row>
    <row r="252" spans="6:14" x14ac:dyDescent="0.2">
      <c r="F252" s="1">
        <v>1.1000000000000001</v>
      </c>
      <c r="G252" s="1">
        <v>8.18</v>
      </c>
      <c r="L252" s="1">
        <v>2</v>
      </c>
    </row>
    <row r="253" spans="6:14" x14ac:dyDescent="0.2">
      <c r="F253" s="1">
        <v>0.9</v>
      </c>
      <c r="G253" s="1">
        <v>8.4600000000000009</v>
      </c>
      <c r="L253" s="1">
        <v>0</v>
      </c>
    </row>
    <row r="254" spans="6:14" x14ac:dyDescent="0.2">
      <c r="F254" s="1">
        <v>1.2</v>
      </c>
      <c r="G254" s="1">
        <v>6.52</v>
      </c>
      <c r="L254" s="1">
        <v>1</v>
      </c>
    </row>
    <row r="255" spans="6:14" x14ac:dyDescent="0.2">
      <c r="F255" s="1">
        <v>1.3</v>
      </c>
      <c r="G255" s="1">
        <v>8.02</v>
      </c>
      <c r="L255" s="1">
        <v>3</v>
      </c>
      <c r="M255" s="1">
        <v>1</v>
      </c>
    </row>
    <row r="256" spans="6:14" x14ac:dyDescent="0.2">
      <c r="F256" s="1">
        <v>1.3</v>
      </c>
      <c r="G256" s="1">
        <v>7.05</v>
      </c>
      <c r="L256" s="1">
        <v>3</v>
      </c>
      <c r="M256" s="1">
        <v>1</v>
      </c>
    </row>
    <row r="257" spans="6:14" x14ac:dyDescent="0.2">
      <c r="F257" s="1">
        <v>1.2</v>
      </c>
      <c r="G257" s="1">
        <v>5.94</v>
      </c>
      <c r="L257" s="1">
        <v>2</v>
      </c>
    </row>
    <row r="258" spans="6:14" x14ac:dyDescent="0.2">
      <c r="F258" s="1">
        <v>0.8</v>
      </c>
      <c r="G258" s="1">
        <v>5.52</v>
      </c>
      <c r="L258" s="1">
        <v>1</v>
      </c>
    </row>
    <row r="259" spans="6:14" x14ac:dyDescent="0.2">
      <c r="F259" s="1">
        <v>1</v>
      </c>
      <c r="G259" s="1">
        <v>4.3600000000000003</v>
      </c>
      <c r="L259" s="1">
        <v>1</v>
      </c>
    </row>
    <row r="260" spans="6:14" x14ac:dyDescent="0.2">
      <c r="F260" s="1">
        <v>0.5</v>
      </c>
      <c r="G260" s="1">
        <v>5.83</v>
      </c>
      <c r="L260" s="1">
        <v>0</v>
      </c>
    </row>
    <row r="261" spans="6:14" x14ac:dyDescent="0.2">
      <c r="F261" s="1">
        <v>0.6</v>
      </c>
      <c r="G261" s="1">
        <v>5.66</v>
      </c>
      <c r="L261" s="1">
        <v>1</v>
      </c>
      <c r="M261" s="1">
        <v>1</v>
      </c>
    </row>
    <row r="262" spans="6:14" x14ac:dyDescent="0.2">
      <c r="F262" s="1">
        <v>1.3</v>
      </c>
      <c r="G262" s="1">
        <v>6.45</v>
      </c>
      <c r="L262" s="1">
        <v>1</v>
      </c>
    </row>
    <row r="263" spans="6:14" x14ac:dyDescent="0.2">
      <c r="F263" s="1">
        <v>0.9</v>
      </c>
      <c r="G263" s="1">
        <v>6.43</v>
      </c>
      <c r="M263" s="1">
        <v>1</v>
      </c>
    </row>
    <row r="264" spans="6:14" x14ac:dyDescent="0.2">
      <c r="F264" s="1">
        <v>1.2</v>
      </c>
      <c r="G264" s="1">
        <v>5.86</v>
      </c>
      <c r="N264" s="1">
        <v>1</v>
      </c>
    </row>
    <row r="265" spans="6:14" x14ac:dyDescent="0.2">
      <c r="F265" s="1">
        <v>1.4</v>
      </c>
      <c r="G265" s="1">
        <v>4.97</v>
      </c>
      <c r="M265" s="1">
        <v>2</v>
      </c>
    </row>
    <row r="266" spans="6:14" x14ac:dyDescent="0.2">
      <c r="F266" s="1">
        <v>1.3</v>
      </c>
      <c r="G266" s="1">
        <v>5.85</v>
      </c>
      <c r="M266" s="1">
        <v>2</v>
      </c>
      <c r="N266" s="1">
        <v>1</v>
      </c>
    </row>
    <row r="267" spans="6:14" x14ac:dyDescent="0.2">
      <c r="F267" s="1">
        <v>0.3</v>
      </c>
      <c r="G267" s="1">
        <v>4.16</v>
      </c>
      <c r="M267" s="1">
        <v>1</v>
      </c>
    </row>
    <row r="268" spans="6:14" x14ac:dyDescent="0.2">
      <c r="F268" s="1">
        <v>0.6</v>
      </c>
      <c r="G268" s="1">
        <v>4.04</v>
      </c>
      <c r="L268" s="1">
        <v>0</v>
      </c>
    </row>
    <row r="269" spans="6:14" x14ac:dyDescent="0.2">
      <c r="F269" s="1">
        <v>0.4</v>
      </c>
      <c r="G269" s="1">
        <v>4.8099999999999996</v>
      </c>
      <c r="N269" s="1">
        <v>1</v>
      </c>
    </row>
    <row r="270" spans="6:14" x14ac:dyDescent="0.2">
      <c r="F270" s="1">
        <v>0.4</v>
      </c>
      <c r="G270" s="1">
        <v>3.8</v>
      </c>
      <c r="L270" s="1">
        <v>0</v>
      </c>
    </row>
  </sheetData>
  <phoneticPr fontId="1" type="noConversion"/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Rep A</vt:lpstr>
      <vt:lpstr>Rep B</vt:lpstr>
      <vt:lpstr>Rep C</vt:lpstr>
      <vt:lpstr>Rep D</vt:lpstr>
      <vt:lpstr>dryweights</vt:lpstr>
      <vt:lpstr>Rep E</vt:lpstr>
      <vt:lpstr>Rep F</vt:lpstr>
      <vt:lpstr>Rep G</vt:lpstr>
      <vt:lpstr>Rep H</vt:lpstr>
      <vt:lpstr>Galls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Strand, Jackson</dc:creator>
  <cp:lastModifiedBy>Strand, Jackson</cp:lastModifiedBy>
  <dcterms:created xsi:type="dcterms:W3CDTF">2026-03-20T16:38:16Z</dcterms:created>
  <dcterms:modified xsi:type="dcterms:W3CDTF">2026-05-27T19:34:29Z</dcterms:modified>
</cp:coreProperties>
</file>