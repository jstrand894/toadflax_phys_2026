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toadflax_phys_2026/data_in/"/>
    </mc:Choice>
  </mc:AlternateContent>
  <xr:revisionPtr revIDLastSave="0" documentId="13_ncr:1_{8DB0E8D9-CD51-CF45-9EE6-57CB9E5F57A6}" xr6:coauthVersionLast="47" xr6:coauthVersionMax="47" xr10:uidLastSave="{00000000-0000-0000-0000-000000000000}"/>
  <bookViews>
    <workbookView xWindow="15120" yWindow="660" windowWidth="15120" windowHeight="18980" activeTab="6" xr2:uid="{576726BE-B199-8648-8F38-2B04CFC75E9F}"/>
    <workbookView xWindow="0" yWindow="660" windowWidth="15120" windowHeight="18980" activeTab="5" xr2:uid="{425FCF97-E445-624D-A120-38CCB2294FA9}"/>
  </bookViews>
  <sheets>
    <sheet name="Rep A" sheetId="1" r:id="rId1"/>
    <sheet name="Rep B" sheetId="2" r:id="rId2"/>
    <sheet name="Rep C" sheetId="4" r:id="rId3"/>
    <sheet name="Rep D" sheetId="5" r:id="rId4"/>
    <sheet name="dryweights" sheetId="3" r:id="rId5"/>
    <sheet name="Rep E" sheetId="6" r:id="rId6"/>
    <sheet name="RepEgall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6" l="1"/>
  <c r="C12" i="6"/>
  <c r="D12" i="6"/>
  <c r="C11" i="6"/>
  <c r="C10" i="6"/>
  <c r="C49" i="3"/>
  <c r="D49" i="3" s="1"/>
  <c r="E49" i="3"/>
  <c r="E8" i="7"/>
  <c r="E7" i="7"/>
  <c r="O1" i="6"/>
  <c r="Q1" i="6" s="1"/>
  <c r="S1" i="6" s="1"/>
  <c r="U1" i="6" s="1"/>
  <c r="W1" i="6" s="1"/>
  <c r="Y1" i="6" s="1"/>
  <c r="AA1" i="6" s="1"/>
  <c r="AC1" i="6" s="1"/>
  <c r="AE1" i="6" s="1"/>
  <c r="N1" i="6"/>
  <c r="P1" i="6" s="1"/>
  <c r="R1" i="6" s="1"/>
  <c r="T1" i="6" s="1"/>
  <c r="V1" i="6" s="1"/>
  <c r="X1" i="6" s="1"/>
  <c r="Z1" i="6" s="1"/>
  <c r="AB1" i="6" s="1"/>
  <c r="AD1" i="6" s="1"/>
  <c r="C48" i="3"/>
  <c r="D48" i="3"/>
  <c r="E48" i="3"/>
  <c r="C47" i="3"/>
  <c r="D47" i="3" s="1"/>
  <c r="E47" i="3"/>
  <c r="C46" i="3"/>
  <c r="D46" i="3" s="1"/>
  <c r="E46" i="3"/>
  <c r="C39" i="3"/>
  <c r="D39" i="3" s="1"/>
  <c r="E39" i="3"/>
  <c r="C40" i="3"/>
  <c r="D40" i="3" s="1"/>
  <c r="E40" i="3"/>
  <c r="C41" i="3"/>
  <c r="D41" i="3" s="1"/>
  <c r="E41" i="3"/>
  <c r="C42" i="3"/>
  <c r="D42" i="3" s="1"/>
  <c r="E42" i="3"/>
  <c r="C43" i="3"/>
  <c r="D43" i="3" s="1"/>
  <c r="E43" i="3"/>
  <c r="C44" i="3"/>
  <c r="D44" i="3" s="1"/>
  <c r="E44" i="3"/>
  <c r="C45" i="3"/>
  <c r="D45" i="3" s="1"/>
  <c r="E45" i="3"/>
  <c r="C38" i="3"/>
  <c r="D38" i="3" s="1"/>
  <c r="E38" i="3"/>
  <c r="C37" i="3"/>
  <c r="D37" i="3" s="1"/>
  <c r="E37" i="3"/>
  <c r="L1" i="5"/>
  <c r="N1" i="5" s="1"/>
  <c r="P1" i="5" s="1"/>
  <c r="R1" i="5" s="1"/>
  <c r="T1" i="5" s="1"/>
  <c r="V1" i="5" s="1"/>
  <c r="X1" i="5" s="1"/>
  <c r="Z1" i="5" s="1"/>
  <c r="AB1" i="5" s="1"/>
  <c r="K1" i="5"/>
  <c r="M1" i="5" s="1"/>
  <c r="O1" i="5" s="1"/>
  <c r="Q1" i="5" s="1"/>
  <c r="S1" i="5" s="1"/>
  <c r="U1" i="5" s="1"/>
  <c r="W1" i="5" s="1"/>
  <c r="Y1" i="5" s="1"/>
  <c r="AA1" i="5" s="1"/>
  <c r="C36" i="3"/>
  <c r="D36" i="3" s="1"/>
  <c r="E36" i="3"/>
  <c r="C35" i="3"/>
  <c r="D35" i="3" s="1"/>
  <c r="E35" i="3"/>
  <c r="C34" i="3"/>
  <c r="D34" i="3" s="1"/>
  <c r="E34" i="3"/>
  <c r="C33" i="3"/>
  <c r="D33" i="3" s="1"/>
  <c r="E33" i="3"/>
  <c r="C32" i="3"/>
  <c r="D32" i="3" s="1"/>
  <c r="E32" i="3"/>
  <c r="C31" i="3"/>
  <c r="D31" i="3" s="1"/>
  <c r="E31" i="3"/>
  <c r="C30" i="3"/>
  <c r="D30" i="3" s="1"/>
  <c r="E30" i="3"/>
  <c r="C29" i="3"/>
  <c r="D29" i="3"/>
  <c r="E29" i="3"/>
  <c r="C28" i="3"/>
  <c r="D28" i="3" s="1"/>
  <c r="E28" i="3"/>
  <c r="C27" i="3"/>
  <c r="D27" i="3" s="1"/>
  <c r="E27" i="3"/>
  <c r="C26" i="3"/>
  <c r="D26" i="3" s="1"/>
  <c r="E26" i="3"/>
  <c r="C25" i="3"/>
  <c r="D25" i="3" s="1"/>
  <c r="E25" i="3"/>
  <c r="L1" i="4"/>
  <c r="N1" i="4" s="1"/>
  <c r="P1" i="4" s="1"/>
  <c r="R1" i="4" s="1"/>
  <c r="T1" i="4" s="1"/>
  <c r="V1" i="4" s="1"/>
  <c r="X1" i="4" s="1"/>
  <c r="Z1" i="4" s="1"/>
  <c r="AB1" i="4" s="1"/>
  <c r="K1" i="4"/>
  <c r="M1" i="4" s="1"/>
  <c r="O1" i="4" s="1"/>
  <c r="Q1" i="4" s="1"/>
  <c r="S1" i="4" s="1"/>
  <c r="U1" i="4" s="1"/>
  <c r="W1" i="4" s="1"/>
  <c r="Y1" i="4" s="1"/>
  <c r="AA1" i="4" s="1"/>
  <c r="E14" i="3"/>
  <c r="E15" i="3"/>
  <c r="E16" i="3"/>
  <c r="E17" i="3"/>
  <c r="E18" i="3"/>
  <c r="E19" i="3"/>
  <c r="E20" i="3"/>
  <c r="E21" i="3"/>
  <c r="E22" i="3"/>
  <c r="E23" i="3"/>
  <c r="E24" i="3"/>
  <c r="E13" i="3"/>
  <c r="D14" i="3"/>
  <c r="D15" i="3"/>
  <c r="D16" i="3"/>
  <c r="D17" i="3"/>
  <c r="D18" i="3"/>
  <c r="D19" i="3"/>
  <c r="D20" i="3"/>
  <c r="D21" i="3"/>
  <c r="D22" i="3"/>
  <c r="D23" i="3"/>
  <c r="D24" i="3"/>
  <c r="D13" i="3"/>
  <c r="C24" i="3"/>
  <c r="C23" i="3"/>
  <c r="C2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" i="3"/>
  <c r="K1" i="2"/>
  <c r="M1" i="2" s="1"/>
  <c r="O1" i="2" s="1"/>
  <c r="Q1" i="2" s="1"/>
  <c r="S1" i="2" s="1"/>
  <c r="U1" i="2" s="1"/>
  <c r="W1" i="2" s="1"/>
  <c r="Y1" i="2" s="1"/>
  <c r="AA1" i="2" s="1"/>
  <c r="L1" i="2"/>
  <c r="N1" i="2" s="1"/>
  <c r="P1" i="2" s="1"/>
  <c r="R1" i="2" s="1"/>
  <c r="T1" i="2" s="1"/>
  <c r="V1" i="2" s="1"/>
  <c r="X1" i="2" s="1"/>
  <c r="Z1" i="2" s="1"/>
  <c r="AB1" i="2" s="1"/>
  <c r="K12" i="1"/>
  <c r="E12" i="1" s="1"/>
  <c r="E8" i="1"/>
  <c r="E9" i="1"/>
  <c r="E10" i="1"/>
  <c r="E11" i="1"/>
  <c r="P7" i="1"/>
  <c r="E7" i="1" s="1"/>
  <c r="E6" i="1"/>
  <c r="E3" i="1"/>
  <c r="E4" i="1"/>
  <c r="E5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K1" authorId="0" shapeId="0" xr:uid="{224110F2-35CD-9B48-9CBB-9415C5338116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sharedStrings.xml><?xml version="1.0" encoding="utf-8"?>
<sst xmlns="http://schemas.openxmlformats.org/spreadsheetml/2006/main" count="435" uniqueCount="117">
  <si>
    <t>date</t>
  </si>
  <si>
    <t>plant_id</t>
  </si>
  <si>
    <t>stem_count</t>
  </si>
  <si>
    <t>rep</t>
  </si>
  <si>
    <t>A</t>
  </si>
  <si>
    <t>D4C</t>
  </si>
  <si>
    <t>main_height</t>
  </si>
  <si>
    <t>main_diameter</t>
  </si>
  <si>
    <t>secondary_inf</t>
  </si>
  <si>
    <t>s_1</t>
  </si>
  <si>
    <t>s_2</t>
  </si>
  <si>
    <t>s_3</t>
  </si>
  <si>
    <t>s_4</t>
  </si>
  <si>
    <t>s_5</t>
  </si>
  <si>
    <t>s_6</t>
  </si>
  <si>
    <t>Y4C</t>
  </si>
  <si>
    <t>s_7</t>
  </si>
  <si>
    <t>marker_height</t>
  </si>
  <si>
    <t>s_8</t>
  </si>
  <si>
    <t>s_9</t>
  </si>
  <si>
    <t>Y3C</t>
  </si>
  <si>
    <t>Y1I</t>
  </si>
  <si>
    <t>larvae_count</t>
  </si>
  <si>
    <t>inf_1</t>
  </si>
  <si>
    <t>inf_2</t>
  </si>
  <si>
    <t>inf_3</t>
  </si>
  <si>
    <t>inf_4</t>
  </si>
  <si>
    <t>inf_5</t>
  </si>
  <si>
    <t>inf_6</t>
  </si>
  <si>
    <t>inf_7</t>
  </si>
  <si>
    <t>inf_8</t>
  </si>
  <si>
    <t>D2I</t>
  </si>
  <si>
    <t>notes</t>
  </si>
  <si>
    <t>f. I threw out the leaves before weighing main stem</t>
  </si>
  <si>
    <t>Y2I</t>
  </si>
  <si>
    <t>D3C</t>
  </si>
  <si>
    <t>D5I</t>
  </si>
  <si>
    <t>Y6I</t>
  </si>
  <si>
    <t>s_10</t>
  </si>
  <si>
    <t>inf_9</t>
  </si>
  <si>
    <t>inf_10</t>
  </si>
  <si>
    <t>s_11</t>
  </si>
  <si>
    <t>inf_11</t>
  </si>
  <si>
    <t>D6I</t>
  </si>
  <si>
    <t>D1I</t>
  </si>
  <si>
    <t>s_12</t>
  </si>
  <si>
    <t>s_13</t>
  </si>
  <si>
    <t>inf_12</t>
  </si>
  <si>
    <t>inf_13</t>
  </si>
  <si>
    <t>s_14</t>
  </si>
  <si>
    <t>s_15</t>
  </si>
  <si>
    <t>inf_14</t>
  </si>
  <si>
    <t>inf_15</t>
  </si>
  <si>
    <t>wet_wt(kg)</t>
  </si>
  <si>
    <t>B</t>
  </si>
  <si>
    <t>D4I</t>
  </si>
  <si>
    <t>Y5I</t>
  </si>
  <si>
    <t>low instar, very green stems</t>
  </si>
  <si>
    <t>high instar larvae</t>
  </si>
  <si>
    <t>side_wet(kg)</t>
  </si>
  <si>
    <t>main_wet(kg)</t>
  </si>
  <si>
    <t>plant</t>
  </si>
  <si>
    <t>treatment</t>
  </si>
  <si>
    <t>C</t>
  </si>
  <si>
    <t>I</t>
  </si>
  <si>
    <t>Y</t>
  </si>
  <si>
    <t>D</t>
  </si>
  <si>
    <t>lotttt of aphids, falling everywhere while manipulating the plnat</t>
  </si>
  <si>
    <t>Y6C</t>
  </si>
  <si>
    <t>so many aphids, lots of larvae</t>
  </si>
  <si>
    <t>D6C</t>
  </si>
  <si>
    <t>Y4I</t>
  </si>
  <si>
    <t>aphidy, lb larvae all over the place</t>
  </si>
  <si>
    <t>main_weight (kg)</t>
  </si>
  <si>
    <t>root_weight (kg)</t>
  </si>
  <si>
    <t>side_weight (kg)</t>
  </si>
  <si>
    <t>NAME</t>
  </si>
  <si>
    <t>D3I</t>
  </si>
  <si>
    <t>x</t>
  </si>
  <si>
    <t>D2C</t>
  </si>
  <si>
    <t>Y3I</t>
  </si>
  <si>
    <t>main stem had like 12 side stems from the base</t>
  </si>
  <si>
    <t>D1C</t>
  </si>
  <si>
    <t>Y2C</t>
  </si>
  <si>
    <t>Y1C</t>
  </si>
  <si>
    <t>E</t>
  </si>
  <si>
    <t>C2</t>
  </si>
  <si>
    <t>marker_2</t>
  </si>
  <si>
    <t>M1</t>
  </si>
  <si>
    <t>gc_main</t>
  </si>
  <si>
    <t>gc_side</t>
  </si>
  <si>
    <t>mc</t>
  </si>
  <si>
    <t>M2</t>
  </si>
  <si>
    <t>Sample</t>
  </si>
  <si>
    <t>Event</t>
  </si>
  <si>
    <t>G1H</t>
  </si>
  <si>
    <t>G1D</t>
  </si>
  <si>
    <t>Insects</t>
  </si>
  <si>
    <t>Rep</t>
  </si>
  <si>
    <t>Dead_egg</t>
  </si>
  <si>
    <t>Dead_neo</t>
  </si>
  <si>
    <t>cat</t>
  </si>
  <si>
    <t>M3</t>
  </si>
  <si>
    <t>m</t>
  </si>
  <si>
    <t>height</t>
  </si>
  <si>
    <t>m_s</t>
  </si>
  <si>
    <t>J1</t>
  </si>
  <si>
    <t>C3</t>
  </si>
  <si>
    <t>C1</t>
  </si>
  <si>
    <t>J3</t>
  </si>
  <si>
    <t>R1</t>
  </si>
  <si>
    <t>R2</t>
  </si>
  <si>
    <t>several small ones on side stems, above second marker</t>
  </si>
  <si>
    <t>J2</t>
  </si>
  <si>
    <t>R3</t>
  </si>
  <si>
    <t>m_s1</t>
  </si>
  <si>
    <t>m_s2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</si>
</sst>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0" fontId="2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Fill="1" applyBorder="1"/>
    <xf numFmtId="0" fontId="0" fillId="0" borderId="2" xfId="0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6995-580A-AA41-A09E-BA63400416FE}">
  <dimension ref="A1:AO13"/>
  <sheetViews>
    <sheetView zoomScale="140" zoomScaleNormal="140" workbookViewId="0">
      <selection activeCell="F20" sqref="F20"/>
    </sheetView>
    <sheetView workbookViewId="1"/>
  </sheetViews>
  <sheetFormatPr baseColWidth="10" defaultRowHeight="16" x14ac:dyDescent="0.2"/>
  <cols>
    <col min="1" max="5" width="10.83203125" style="1"/>
    <col min="6" max="6" width="11.1640625" style="1" bestFit="1" customWidth="1"/>
    <col min="7" max="7" width="13.33203125" style="1" bestFit="1" customWidth="1"/>
    <col min="8" max="8" width="12.6640625" style="1" bestFit="1" customWidth="1"/>
    <col min="9" max="9" width="11.6640625" style="1" bestFit="1" customWidth="1"/>
    <col min="10" max="10" width="12.5" style="1" bestFit="1" customWidth="1"/>
    <col min="11" max="14" width="5.33203125" style="1" bestFit="1" customWidth="1"/>
    <col min="15" max="15" width="6.5" style="1" bestFit="1" customWidth="1"/>
    <col min="16" max="16" width="5.33203125" style="1" bestFit="1" customWidth="1"/>
    <col min="17" max="19" width="5.33203125" bestFit="1" customWidth="1"/>
    <col min="20" max="25" width="5.33203125" customWidth="1"/>
    <col min="26" max="30" width="5.1640625" style="1" bestFit="1" customWidth="1"/>
    <col min="31" max="33" width="5.1640625" bestFit="1" customWidth="1"/>
    <col min="34" max="34" width="5.1640625" customWidth="1"/>
    <col min="35" max="35" width="6.1640625" bestFit="1" customWidth="1"/>
    <col min="36" max="40" width="6.1640625" customWidth="1"/>
  </cols>
  <sheetData>
    <row r="1" spans="1:41" x14ac:dyDescent="0.2">
      <c r="A1" s="1" t="s">
        <v>0</v>
      </c>
      <c r="B1" s="1" t="s">
        <v>3</v>
      </c>
      <c r="C1" s="1" t="s">
        <v>1</v>
      </c>
      <c r="D1" s="1" t="s">
        <v>53</v>
      </c>
      <c r="E1" s="1" t="s">
        <v>2</v>
      </c>
      <c r="F1" s="1" t="s">
        <v>6</v>
      </c>
      <c r="G1" s="1" t="s">
        <v>7</v>
      </c>
      <c r="H1" s="1" t="s">
        <v>17</v>
      </c>
      <c r="I1" s="1" t="s">
        <v>22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16</v>
      </c>
      <c r="R1" s="1" t="s">
        <v>18</v>
      </c>
      <c r="S1" s="1" t="s">
        <v>19</v>
      </c>
      <c r="T1" s="1" t="s">
        <v>38</v>
      </c>
      <c r="U1" s="1" t="s">
        <v>41</v>
      </c>
      <c r="V1" s="1" t="s">
        <v>45</v>
      </c>
      <c r="W1" s="1" t="s">
        <v>46</v>
      </c>
      <c r="X1" s="1" t="s">
        <v>49</v>
      </c>
      <c r="Y1" s="1" t="s">
        <v>50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39</v>
      </c>
      <c r="AI1" s="1" t="s">
        <v>40</v>
      </c>
      <c r="AJ1" s="1" t="s">
        <v>42</v>
      </c>
      <c r="AK1" s="1" t="s">
        <v>47</v>
      </c>
      <c r="AL1" s="1" t="s">
        <v>48</v>
      </c>
      <c r="AM1" s="1" t="s">
        <v>51</v>
      </c>
      <c r="AN1" s="1" t="s">
        <v>52</v>
      </c>
      <c r="AO1" s="1" t="s">
        <v>32</v>
      </c>
    </row>
    <row r="2" spans="1:41" x14ac:dyDescent="0.2">
      <c r="A2" s="2">
        <v>46101</v>
      </c>
      <c r="B2" s="1" t="s">
        <v>4</v>
      </c>
      <c r="C2" s="1" t="s">
        <v>5</v>
      </c>
      <c r="D2" s="1">
        <v>4.0500000000000001E-2</v>
      </c>
      <c r="E2" s="1">
        <f>COUNTA(K2:AA2)+1</f>
        <v>8</v>
      </c>
      <c r="F2" s="1">
        <v>85</v>
      </c>
      <c r="G2" s="1">
        <v>4.5819999999999999</v>
      </c>
      <c r="H2" s="1">
        <v>10.7</v>
      </c>
      <c r="K2" s="1">
        <v>30.1</v>
      </c>
      <c r="L2" s="1">
        <v>48.6</v>
      </c>
      <c r="M2" s="1">
        <v>59.5</v>
      </c>
      <c r="N2" s="1">
        <v>77.5</v>
      </c>
      <c r="O2" s="1">
        <v>105.7</v>
      </c>
      <c r="P2" s="1">
        <v>65.599999999999994</v>
      </c>
      <c r="Q2" s="1">
        <v>35.700000000000003</v>
      </c>
    </row>
    <row r="3" spans="1:41" x14ac:dyDescent="0.2">
      <c r="A3" s="2">
        <v>46101</v>
      </c>
      <c r="B3" s="1" t="s">
        <v>4</v>
      </c>
      <c r="C3" s="1" t="s">
        <v>15</v>
      </c>
      <c r="D3" s="1">
        <v>1.32E-2</v>
      </c>
      <c r="E3" s="1">
        <f t="shared" ref="E3:E11" si="0">COUNTA(K3:AA3)+1</f>
        <v>5</v>
      </c>
      <c r="F3" s="1">
        <v>66.3</v>
      </c>
      <c r="G3" s="1">
        <v>3.714</v>
      </c>
      <c r="H3" s="1">
        <v>22.7</v>
      </c>
      <c r="K3" s="1">
        <v>56.2</v>
      </c>
      <c r="L3" s="1">
        <v>54.3</v>
      </c>
      <c r="M3" s="1">
        <v>15.4</v>
      </c>
      <c r="N3" s="1">
        <v>12.9</v>
      </c>
    </row>
    <row r="4" spans="1:41" x14ac:dyDescent="0.2">
      <c r="A4" s="2">
        <v>46101</v>
      </c>
      <c r="B4" s="1" t="s">
        <v>4</v>
      </c>
      <c r="C4" s="1" t="s">
        <v>20</v>
      </c>
      <c r="D4" s="1">
        <v>1.3899999999999999E-2</v>
      </c>
      <c r="E4" s="1">
        <f t="shared" si="0"/>
        <v>10</v>
      </c>
      <c r="F4" s="1">
        <v>70.400000000000006</v>
      </c>
      <c r="G4" s="1">
        <v>3.6829999999999998</v>
      </c>
      <c r="H4" s="1">
        <v>18</v>
      </c>
      <c r="K4" s="1">
        <v>41.1</v>
      </c>
      <c r="L4" s="1">
        <v>67.099999999999994</v>
      </c>
      <c r="M4" s="1">
        <v>63.5</v>
      </c>
      <c r="N4" s="1">
        <v>62.7</v>
      </c>
      <c r="O4" s="1">
        <v>55.9</v>
      </c>
      <c r="P4" s="1">
        <v>48.1</v>
      </c>
      <c r="Q4" s="1">
        <v>33.200000000000003</v>
      </c>
      <c r="R4" s="1">
        <v>39.200000000000003</v>
      </c>
      <c r="S4" s="1">
        <v>69.2</v>
      </c>
      <c r="T4" s="1"/>
      <c r="U4" s="1"/>
      <c r="V4" s="1"/>
      <c r="W4" s="1"/>
      <c r="X4" s="1"/>
      <c r="Y4" s="1"/>
    </row>
    <row r="5" spans="1:41" x14ac:dyDescent="0.2">
      <c r="A5" s="2">
        <v>46101</v>
      </c>
      <c r="B5" s="1" t="s">
        <v>4</v>
      </c>
      <c r="C5" s="1" t="s">
        <v>21</v>
      </c>
      <c r="D5" s="1">
        <v>4.7000000000000002E-3</v>
      </c>
      <c r="E5" s="1">
        <f t="shared" si="0"/>
        <v>11</v>
      </c>
      <c r="F5" s="1">
        <v>49.6</v>
      </c>
      <c r="G5" s="1">
        <v>3.6320000000000001</v>
      </c>
      <c r="H5" s="1">
        <v>11.7</v>
      </c>
      <c r="I5" s="1">
        <v>6</v>
      </c>
      <c r="K5" s="1">
        <v>47.6</v>
      </c>
      <c r="L5" s="1">
        <v>53.4</v>
      </c>
      <c r="M5" s="1">
        <v>52.4</v>
      </c>
      <c r="N5" s="1">
        <v>50.6</v>
      </c>
      <c r="O5" s="1">
        <v>55.7</v>
      </c>
      <c r="P5" s="1">
        <v>46.7</v>
      </c>
      <c r="Q5" s="1">
        <v>40.700000000000003</v>
      </c>
      <c r="R5" s="1">
        <v>46.5</v>
      </c>
      <c r="Z5" s="1">
        <v>3</v>
      </c>
      <c r="AA5" s="1">
        <v>5</v>
      </c>
      <c r="AB5" s="1">
        <v>2</v>
      </c>
      <c r="AC5" s="1">
        <v>3</v>
      </c>
      <c r="AD5" s="1">
        <v>7</v>
      </c>
      <c r="AE5" s="1">
        <v>5</v>
      </c>
      <c r="AF5" s="1">
        <v>6</v>
      </c>
      <c r="AG5" s="1">
        <v>12</v>
      </c>
      <c r="AH5" s="1"/>
      <c r="AI5" s="1"/>
      <c r="AJ5" s="1"/>
      <c r="AK5" s="1"/>
      <c r="AL5" s="1"/>
      <c r="AM5" s="1"/>
      <c r="AN5" s="1"/>
    </row>
    <row r="6" spans="1:41" x14ac:dyDescent="0.2">
      <c r="A6" s="2">
        <v>46101</v>
      </c>
      <c r="B6" s="1" t="s">
        <v>4</v>
      </c>
      <c r="C6" s="1" t="s">
        <v>31</v>
      </c>
      <c r="D6" s="1">
        <v>3.0599999999999999E-2</v>
      </c>
      <c r="E6" s="1">
        <f t="shared" si="0"/>
        <v>6</v>
      </c>
      <c r="F6" s="1">
        <v>62.2</v>
      </c>
      <c r="G6" s="1">
        <v>6.0250000000000004</v>
      </c>
      <c r="H6" s="1">
        <v>15.1</v>
      </c>
      <c r="I6" s="1">
        <v>7</v>
      </c>
      <c r="K6" s="1">
        <v>64.8</v>
      </c>
      <c r="L6" s="1">
        <v>55.9</v>
      </c>
      <c r="M6" s="1">
        <v>69.900000000000006</v>
      </c>
      <c r="Z6" s="1">
        <v>12</v>
      </c>
      <c r="AA6" s="1">
        <v>10</v>
      </c>
      <c r="AB6" s="1">
        <v>15</v>
      </c>
      <c r="AO6" t="s">
        <v>33</v>
      </c>
    </row>
    <row r="7" spans="1:41" x14ac:dyDescent="0.2">
      <c r="A7" s="2">
        <v>46101</v>
      </c>
      <c r="B7" s="1" t="s">
        <v>4</v>
      </c>
      <c r="C7" s="1" t="s">
        <v>34</v>
      </c>
      <c r="D7" s="1">
        <v>1.03E-2</v>
      </c>
      <c r="E7" s="1">
        <f t="shared" si="0"/>
        <v>12</v>
      </c>
      <c r="F7" s="1">
        <v>49.2</v>
      </c>
      <c r="G7" s="1">
        <v>2.2000000000000002</v>
      </c>
      <c r="H7" s="1">
        <v>7.9</v>
      </c>
      <c r="I7" s="1">
        <v>4</v>
      </c>
      <c r="K7" s="1">
        <v>41.3</v>
      </c>
      <c r="L7" s="1">
        <v>38.5</v>
      </c>
      <c r="M7" s="1">
        <v>40.200000000000003</v>
      </c>
      <c r="N7" s="1">
        <v>56.4</v>
      </c>
      <c r="O7" s="1">
        <v>29.1</v>
      </c>
      <c r="P7" s="1">
        <f>23+7.6</f>
        <v>30.6</v>
      </c>
      <c r="Q7" s="1">
        <v>34.1</v>
      </c>
      <c r="R7" s="1">
        <v>47.2</v>
      </c>
      <c r="S7" s="1">
        <v>35.1</v>
      </c>
      <c r="T7" s="1"/>
      <c r="U7" s="1"/>
      <c r="V7" s="1"/>
      <c r="W7" s="1"/>
      <c r="X7" s="1"/>
      <c r="Y7" s="1"/>
      <c r="Z7" s="1">
        <v>11</v>
      </c>
      <c r="AA7" s="1">
        <v>5</v>
      </c>
      <c r="AB7" s="1">
        <v>3</v>
      </c>
      <c r="AC7" s="1">
        <v>12</v>
      </c>
      <c r="AD7" s="1">
        <v>6</v>
      </c>
      <c r="AE7" s="1">
        <v>8</v>
      </c>
      <c r="AF7" s="1">
        <v>7</v>
      </c>
      <c r="AG7" s="1">
        <v>8</v>
      </c>
      <c r="AH7" s="1"/>
      <c r="AI7" s="1"/>
      <c r="AJ7" s="1"/>
      <c r="AK7" s="1"/>
      <c r="AL7" s="1"/>
      <c r="AM7" s="1"/>
      <c r="AN7" s="1"/>
    </row>
    <row r="8" spans="1:41" x14ac:dyDescent="0.2">
      <c r="A8" s="2">
        <v>46101</v>
      </c>
      <c r="B8" s="1" t="s">
        <v>4</v>
      </c>
      <c r="C8" s="1" t="s">
        <v>35</v>
      </c>
      <c r="D8" s="1">
        <v>7.7499999999999999E-2</v>
      </c>
      <c r="E8" s="1">
        <f t="shared" si="0"/>
        <v>1</v>
      </c>
      <c r="F8" s="1">
        <v>66.099999999999994</v>
      </c>
      <c r="G8" s="1">
        <v>3.7370000000000001</v>
      </c>
      <c r="H8" s="1">
        <v>21.1</v>
      </c>
    </row>
    <row r="9" spans="1:41" x14ac:dyDescent="0.2">
      <c r="A9" s="2">
        <v>46101</v>
      </c>
      <c r="B9" s="1" t="s">
        <v>4</v>
      </c>
      <c r="C9" s="1" t="s">
        <v>36</v>
      </c>
      <c r="D9" s="1">
        <v>1.38E-2</v>
      </c>
      <c r="E9" s="1">
        <f t="shared" si="0"/>
        <v>7</v>
      </c>
      <c r="F9" s="1">
        <v>41.7</v>
      </c>
      <c r="G9" s="1">
        <v>4.7539999999999996</v>
      </c>
      <c r="H9" s="1">
        <v>7.1</v>
      </c>
      <c r="I9" s="1">
        <v>12</v>
      </c>
      <c r="K9" s="1">
        <v>32.799999999999997</v>
      </c>
      <c r="L9" s="1">
        <v>37.799999999999997</v>
      </c>
      <c r="M9" s="1">
        <v>42.5</v>
      </c>
      <c r="N9" s="1">
        <v>44.9</v>
      </c>
      <c r="Z9" s="1">
        <v>0</v>
      </c>
      <c r="AA9" s="1">
        <v>4</v>
      </c>
      <c r="AB9" s="1">
        <v>8</v>
      </c>
      <c r="AC9" s="1">
        <v>12</v>
      </c>
    </row>
    <row r="10" spans="1:41" x14ac:dyDescent="0.2">
      <c r="A10" s="2">
        <v>46101</v>
      </c>
      <c r="B10" s="1" t="s">
        <v>4</v>
      </c>
      <c r="C10" s="1" t="s">
        <v>37</v>
      </c>
      <c r="D10" s="1">
        <v>1.8E-3</v>
      </c>
      <c r="E10" s="1">
        <f>COUNTA(K10:AA10)+1</f>
        <v>14</v>
      </c>
      <c r="F10" s="1">
        <v>24.9</v>
      </c>
      <c r="G10" s="1">
        <v>1.637</v>
      </c>
      <c r="H10" s="1">
        <v>8.8000000000000007</v>
      </c>
      <c r="I10" s="1">
        <v>10</v>
      </c>
      <c r="K10" s="1">
        <v>36.200000000000003</v>
      </c>
      <c r="L10" s="1">
        <v>34.5</v>
      </c>
      <c r="M10" s="1">
        <v>33.1</v>
      </c>
      <c r="N10" s="1">
        <v>47.5</v>
      </c>
      <c r="O10" s="1">
        <v>31.2</v>
      </c>
      <c r="P10" s="1">
        <v>31.9</v>
      </c>
      <c r="Q10" s="1">
        <v>15.1</v>
      </c>
      <c r="R10" s="1">
        <v>11.5</v>
      </c>
      <c r="S10" s="1">
        <v>13.6</v>
      </c>
      <c r="T10" s="1">
        <v>38.4</v>
      </c>
      <c r="U10" s="1">
        <v>38.1</v>
      </c>
      <c r="V10" s="1"/>
      <c r="W10" s="1"/>
      <c r="X10" s="1"/>
      <c r="Y10" s="1"/>
      <c r="Z10" s="1">
        <v>12</v>
      </c>
      <c r="AA10" s="1">
        <v>13</v>
      </c>
      <c r="AB10" s="1">
        <v>14</v>
      </c>
      <c r="AC10" s="1">
        <v>16</v>
      </c>
      <c r="AD10" s="1">
        <v>17</v>
      </c>
      <c r="AE10" s="1">
        <v>7</v>
      </c>
      <c r="AI10" s="1">
        <v>16</v>
      </c>
      <c r="AJ10" s="1">
        <v>13</v>
      </c>
      <c r="AK10" s="1"/>
      <c r="AL10" s="1"/>
      <c r="AM10" s="1"/>
      <c r="AN10" s="1"/>
    </row>
    <row r="11" spans="1:41" x14ac:dyDescent="0.2">
      <c r="A11" s="2">
        <v>46101</v>
      </c>
      <c r="B11" s="1" t="s">
        <v>4</v>
      </c>
      <c r="C11" s="1" t="s">
        <v>43</v>
      </c>
      <c r="D11" s="1">
        <v>4.7199999999999999E-2</v>
      </c>
      <c r="E11" s="1">
        <f t="shared" si="0"/>
        <v>1</v>
      </c>
      <c r="F11" s="1">
        <v>63.4</v>
      </c>
      <c r="G11" s="1">
        <v>6.0380000000000003</v>
      </c>
      <c r="H11" s="1">
        <v>8</v>
      </c>
      <c r="I11" s="1">
        <v>22</v>
      </c>
    </row>
    <row r="12" spans="1:41" x14ac:dyDescent="0.2">
      <c r="A12" s="2">
        <v>46101</v>
      </c>
      <c r="B12" s="1" t="s">
        <v>4</v>
      </c>
      <c r="C12" s="1" t="s">
        <v>44</v>
      </c>
      <c r="D12" s="1">
        <v>1.6299999999999999E-2</v>
      </c>
      <c r="E12" s="1">
        <f>COUNTA(K12:U12)+1</f>
        <v>12</v>
      </c>
      <c r="F12" s="1">
        <v>45.8</v>
      </c>
      <c r="G12" s="1">
        <v>4.5010000000000003</v>
      </c>
      <c r="H12" s="1">
        <v>8.6999999999999993</v>
      </c>
      <c r="I12" s="1">
        <v>4</v>
      </c>
      <c r="K12" s="1">
        <f>31.7+7.1</f>
        <v>38.799999999999997</v>
      </c>
      <c r="L12" s="1">
        <v>16.8</v>
      </c>
      <c r="M12" s="1">
        <v>72.099999999999994</v>
      </c>
      <c r="N12" s="1">
        <v>63.9</v>
      </c>
      <c r="O12" s="1">
        <v>65.7</v>
      </c>
      <c r="P12" s="1">
        <v>59.7</v>
      </c>
      <c r="Q12" s="1">
        <v>67.2</v>
      </c>
      <c r="R12" s="1">
        <v>63.5</v>
      </c>
      <c r="S12" s="1">
        <v>20.8</v>
      </c>
      <c r="T12" s="1">
        <v>45.7</v>
      </c>
      <c r="U12" s="1">
        <v>22.7</v>
      </c>
      <c r="V12" s="1">
        <v>63.5</v>
      </c>
      <c r="W12" s="1">
        <v>32</v>
      </c>
      <c r="X12" s="1">
        <v>71.400000000000006</v>
      </c>
      <c r="Y12" s="1">
        <v>65.900000000000006</v>
      </c>
      <c r="Z12" s="1">
        <v>0</v>
      </c>
      <c r="AA12" s="1">
        <v>0</v>
      </c>
      <c r="AB12" s="1">
        <v>2</v>
      </c>
      <c r="AC12" s="1">
        <v>0</v>
      </c>
      <c r="AD12" s="1">
        <v>1</v>
      </c>
      <c r="AE12" s="1">
        <v>1</v>
      </c>
      <c r="AF12" s="1">
        <v>7</v>
      </c>
      <c r="AG12" s="1">
        <v>10</v>
      </c>
      <c r="AH12" s="1">
        <v>0</v>
      </c>
      <c r="AI12" s="1">
        <v>1</v>
      </c>
      <c r="AJ12" s="1">
        <v>0</v>
      </c>
      <c r="AK12" s="1">
        <v>0</v>
      </c>
      <c r="AL12" s="1">
        <v>0</v>
      </c>
      <c r="AM12" s="1">
        <v>12</v>
      </c>
      <c r="AN12" s="1">
        <v>12</v>
      </c>
    </row>
    <row r="13" spans="1:41" x14ac:dyDescent="0.2">
      <c r="A13" s="2">
        <v>46107</v>
      </c>
      <c r="B13" s="1" t="s">
        <v>54</v>
      </c>
      <c r="K13" s="1">
        <v>23.2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3C022-9765-1546-B6F3-7B79E85A344E}">
  <dimension ref="A1:AI13"/>
  <sheetViews>
    <sheetView zoomScale="150" zoomScaleNormal="150" workbookViewId="0">
      <pane ySplit="1" topLeftCell="A2" activePane="bottomLeft" state="frozen"/>
      <selection activeCell="N1" sqref="N1"/>
      <selection pane="bottomLeft" sqref="A1:XFD1"/>
    </sheetView>
    <sheetView workbookViewId="1"/>
  </sheetViews>
  <sheetFormatPr baseColWidth="10" defaultRowHeight="16" x14ac:dyDescent="0.2"/>
  <cols>
    <col min="3" max="3" width="12.5" bestFit="1" customWidth="1"/>
    <col min="4" max="4" width="11.83203125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5.1640625" style="10" bestFit="1" customWidth="1"/>
    <col min="10" max="10" width="5.1640625" style="1" bestFit="1" customWidth="1"/>
    <col min="11" max="11" width="5.1640625" style="8" bestFit="1" customWidth="1"/>
    <col min="12" max="12" width="5.1640625" style="1" bestFit="1" customWidth="1"/>
    <col min="13" max="13" width="4.1640625" style="8" bestFit="1" customWidth="1"/>
    <col min="14" max="14" width="5.1640625" style="1" bestFit="1" customWidth="1"/>
    <col min="15" max="15" width="5.1640625" style="8" bestFit="1" customWidth="1"/>
    <col min="16" max="16" width="5.1640625" style="1" bestFit="1" customWidth="1"/>
    <col min="17" max="17" width="5.1640625" style="8" bestFit="1" customWidth="1"/>
    <col min="18" max="18" width="5.1640625" style="1" bestFit="1" customWidth="1"/>
    <col min="19" max="19" width="5.1640625" style="8" bestFit="1" customWidth="1"/>
    <col min="20" max="20" width="5.1640625" style="1" bestFit="1" customWidth="1"/>
    <col min="21" max="21" width="5.1640625" style="8" bestFit="1" customWidth="1"/>
    <col min="22" max="22" width="5.1640625" style="1" bestFit="1" customWidth="1"/>
    <col min="23" max="23" width="5.1640625" style="8" bestFit="1" customWidth="1"/>
    <col min="24" max="24" width="5.1640625" style="1" bestFit="1" customWidth="1"/>
    <col min="25" max="25" width="4" style="8" bestFit="1" customWidth="1"/>
    <col min="26" max="26" width="5.1640625" style="1" bestFit="1" customWidth="1"/>
    <col min="27" max="27" width="5" style="8" bestFit="1" customWidth="1"/>
    <col min="28" max="28" width="6.1640625" style="1" bestFit="1" customWidth="1"/>
    <col min="29" max="29" width="5" style="8" bestFit="1" customWidth="1"/>
    <col min="30" max="30" width="6.1640625" style="1" bestFit="1" customWidth="1"/>
    <col min="31" max="31" width="5" style="3" bestFit="1" customWidth="1"/>
    <col min="32" max="32" width="6.1640625" bestFit="1" customWidth="1"/>
    <col min="33" max="34" width="6.1640625" customWidth="1"/>
  </cols>
  <sheetData>
    <row r="1" spans="1:35" s="4" customFormat="1" x14ac:dyDescent="0.2">
      <c r="A1" s="4" t="s">
        <v>3</v>
      </c>
      <c r="B1" s="4" t="s">
        <v>1</v>
      </c>
      <c r="C1" s="4" t="s">
        <v>60</v>
      </c>
      <c r="D1" s="4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t="s">
        <v>54</v>
      </c>
      <c r="B2" t="s">
        <v>55</v>
      </c>
      <c r="C2">
        <v>8.3499999999999998E-3</v>
      </c>
      <c r="D2">
        <v>4.088E-2</v>
      </c>
      <c r="E2" s="1">
        <v>49.3</v>
      </c>
      <c r="F2" s="1">
        <v>3.1440000000000001</v>
      </c>
      <c r="G2" s="1">
        <v>12.5</v>
      </c>
      <c r="H2" s="1">
        <v>10</v>
      </c>
      <c r="I2" s="10">
        <v>23.2</v>
      </c>
      <c r="J2" s="1">
        <v>0</v>
      </c>
      <c r="K2" s="8">
        <v>20.5</v>
      </c>
      <c r="L2" s="1">
        <v>3</v>
      </c>
      <c r="M2" s="8">
        <v>5.3</v>
      </c>
      <c r="N2" s="1">
        <v>0</v>
      </c>
      <c r="O2" s="8">
        <v>49.3</v>
      </c>
      <c r="P2" s="1">
        <v>20</v>
      </c>
      <c r="Q2" s="8">
        <v>44.4</v>
      </c>
      <c r="R2" s="1">
        <v>16</v>
      </c>
      <c r="S2" s="8">
        <v>34.6</v>
      </c>
      <c r="T2" s="1">
        <v>4</v>
      </c>
      <c r="U2" s="8">
        <v>41.5</v>
      </c>
      <c r="V2" s="1">
        <v>6</v>
      </c>
      <c r="W2" s="8">
        <v>49.4</v>
      </c>
      <c r="X2" s="1">
        <v>8</v>
      </c>
      <c r="Y2" s="8">
        <v>24</v>
      </c>
      <c r="Z2" s="1">
        <v>8</v>
      </c>
      <c r="AA2" s="8">
        <v>33.299999999999997</v>
      </c>
      <c r="AB2" s="1">
        <v>9</v>
      </c>
      <c r="AC2" s="8">
        <v>42.9</v>
      </c>
      <c r="AD2" s="1">
        <v>4</v>
      </c>
      <c r="AE2" s="3">
        <v>19.100000000000001</v>
      </c>
      <c r="AF2">
        <v>0</v>
      </c>
      <c r="AI2" t="s">
        <v>58</v>
      </c>
    </row>
    <row r="3" spans="1:35" x14ac:dyDescent="0.2">
      <c r="A3" t="s">
        <v>54</v>
      </c>
      <c r="B3" t="s">
        <v>34</v>
      </c>
      <c r="C3">
        <v>4.4819999999999999E-2</v>
      </c>
      <c r="D3">
        <v>2.3609999999999999E-2</v>
      </c>
      <c r="E3" s="1">
        <v>38.9</v>
      </c>
      <c r="F3" s="1">
        <v>3.996</v>
      </c>
      <c r="G3" s="1">
        <v>4.5999999999999996</v>
      </c>
      <c r="H3" s="1">
        <v>15</v>
      </c>
      <c r="I3" s="10">
        <v>48.7</v>
      </c>
      <c r="J3" s="1">
        <v>14</v>
      </c>
      <c r="K3" s="8">
        <v>20.5</v>
      </c>
      <c r="L3" s="1">
        <v>0</v>
      </c>
      <c r="M3" s="8">
        <v>14.8</v>
      </c>
      <c r="N3" s="1">
        <v>0</v>
      </c>
      <c r="O3" s="8">
        <v>50.3</v>
      </c>
      <c r="P3" s="1">
        <v>10</v>
      </c>
    </row>
    <row r="4" spans="1:35" x14ac:dyDescent="0.2">
      <c r="A4" t="s">
        <v>54</v>
      </c>
      <c r="B4" t="s">
        <v>35</v>
      </c>
      <c r="C4">
        <v>5.9429999999999997E-2</v>
      </c>
      <c r="D4">
        <v>6.0100000000000001E-2</v>
      </c>
      <c r="E4" s="1">
        <v>75.099999999999994</v>
      </c>
      <c r="F4" s="1">
        <v>5.15</v>
      </c>
      <c r="G4" s="1">
        <v>19.5</v>
      </c>
      <c r="H4" s="1">
        <v>0</v>
      </c>
      <c r="I4" s="10">
        <v>56.1</v>
      </c>
      <c r="J4" s="1">
        <v>0</v>
      </c>
      <c r="K4" s="8">
        <v>40.1</v>
      </c>
      <c r="M4" s="1">
        <v>48.6</v>
      </c>
    </row>
    <row r="5" spans="1:35" x14ac:dyDescent="0.2">
      <c r="A5" t="s">
        <v>54</v>
      </c>
      <c r="B5" t="s">
        <v>56</v>
      </c>
      <c r="C5">
        <v>5.2069999999999998E-2</v>
      </c>
      <c r="D5">
        <v>7.9149999999999998E-2</v>
      </c>
      <c r="E5" s="1">
        <v>51</v>
      </c>
      <c r="F5" s="1">
        <v>4.5199999999999996</v>
      </c>
      <c r="G5" s="1">
        <v>3.8</v>
      </c>
      <c r="H5" s="1">
        <v>27</v>
      </c>
      <c r="I5" s="10">
        <v>17.5</v>
      </c>
      <c r="J5" s="1">
        <v>1</v>
      </c>
      <c r="K5" s="8">
        <v>22.4</v>
      </c>
      <c r="L5" s="1">
        <v>3</v>
      </c>
      <c r="M5" s="8">
        <v>9.6999999999999993</v>
      </c>
      <c r="O5" s="8">
        <v>15.5</v>
      </c>
      <c r="Q5" s="8">
        <v>11.1</v>
      </c>
      <c r="S5" s="8">
        <v>57.3</v>
      </c>
      <c r="T5" s="1">
        <v>18</v>
      </c>
      <c r="U5" s="8">
        <v>54</v>
      </c>
      <c r="V5" s="1">
        <v>16</v>
      </c>
      <c r="W5" s="8">
        <v>52.6</v>
      </c>
      <c r="X5" s="1">
        <v>27</v>
      </c>
      <c r="AI5" t="s">
        <v>57</v>
      </c>
    </row>
    <row r="6" spans="1:35" x14ac:dyDescent="0.2">
      <c r="A6" t="s">
        <v>54</v>
      </c>
      <c r="B6" t="s">
        <v>44</v>
      </c>
      <c r="C6">
        <v>2.426E-2</v>
      </c>
      <c r="D6">
        <v>5.2909999999999999E-2</v>
      </c>
      <c r="E6" s="1">
        <v>76.2</v>
      </c>
      <c r="F6" s="1">
        <v>3.8580000000000001</v>
      </c>
      <c r="G6" s="1">
        <v>14.2</v>
      </c>
      <c r="H6" s="1">
        <v>19</v>
      </c>
      <c r="I6" s="10">
        <v>79.7</v>
      </c>
      <c r="J6" s="1">
        <v>18</v>
      </c>
      <c r="K6" s="8">
        <v>56</v>
      </c>
      <c r="L6" s="1">
        <v>13</v>
      </c>
      <c r="AI6" t="s">
        <v>67</v>
      </c>
    </row>
    <row r="7" spans="1:35" x14ac:dyDescent="0.2">
      <c r="A7" t="s">
        <v>54</v>
      </c>
      <c r="B7" t="s">
        <v>68</v>
      </c>
      <c r="C7">
        <v>3.8960000000000002E-2</v>
      </c>
      <c r="D7">
        <v>7.0760000000000003E-2</v>
      </c>
      <c r="E7" s="1">
        <v>63.2</v>
      </c>
      <c r="F7" s="1">
        <v>5.6130000000000004</v>
      </c>
      <c r="G7" s="1">
        <v>6.5</v>
      </c>
      <c r="H7" s="1">
        <v>0</v>
      </c>
      <c r="I7" s="10">
        <v>37</v>
      </c>
      <c r="J7" s="1">
        <v>0</v>
      </c>
      <c r="K7" s="8">
        <v>42</v>
      </c>
      <c r="L7" s="1">
        <v>0</v>
      </c>
      <c r="M7" s="8">
        <v>58.1</v>
      </c>
      <c r="N7" s="1">
        <v>0</v>
      </c>
      <c r="O7" s="8">
        <v>57</v>
      </c>
      <c r="P7" s="1">
        <v>0</v>
      </c>
      <c r="Q7" s="8">
        <v>61.3</v>
      </c>
      <c r="R7" s="1">
        <v>0</v>
      </c>
      <c r="S7" s="8">
        <v>5.5</v>
      </c>
      <c r="T7" s="1">
        <v>0</v>
      </c>
    </row>
    <row r="8" spans="1:35" x14ac:dyDescent="0.2">
      <c r="A8" t="s">
        <v>54</v>
      </c>
      <c r="B8" t="s">
        <v>21</v>
      </c>
      <c r="C8">
        <v>3.551E-2</v>
      </c>
      <c r="D8">
        <v>6.1929999999999999E-2</v>
      </c>
      <c r="E8" s="1">
        <v>48.6</v>
      </c>
      <c r="F8" s="1">
        <v>4.548</v>
      </c>
      <c r="G8" s="1">
        <v>3.8</v>
      </c>
      <c r="H8" s="1">
        <v>11</v>
      </c>
      <c r="I8" s="10">
        <v>48.2</v>
      </c>
      <c r="J8" s="1">
        <v>12</v>
      </c>
      <c r="K8" s="8">
        <v>46</v>
      </c>
      <c r="L8" s="1">
        <v>12</v>
      </c>
      <c r="M8" s="8">
        <v>53.2</v>
      </c>
      <c r="N8" s="1">
        <v>6</v>
      </c>
      <c r="O8" s="8">
        <v>50</v>
      </c>
      <c r="P8" s="1">
        <v>9</v>
      </c>
      <c r="Q8" s="8">
        <v>27</v>
      </c>
      <c r="R8" s="1">
        <v>3</v>
      </c>
      <c r="S8" s="8">
        <v>50.8</v>
      </c>
      <c r="T8" s="1">
        <v>11</v>
      </c>
      <c r="U8" s="8">
        <v>35</v>
      </c>
      <c r="V8" s="1">
        <v>2</v>
      </c>
      <c r="W8" s="8">
        <v>51.8</v>
      </c>
      <c r="X8" s="1">
        <v>12</v>
      </c>
      <c r="Y8" s="8">
        <v>38.700000000000003</v>
      </c>
      <c r="Z8" s="1">
        <v>2</v>
      </c>
    </row>
    <row r="9" spans="1:35" x14ac:dyDescent="0.2">
      <c r="A9" t="s">
        <v>54</v>
      </c>
      <c r="B9" t="s">
        <v>31</v>
      </c>
      <c r="C9">
        <v>4.5909999999999999E-2</v>
      </c>
      <c r="D9">
        <v>6.3670000000000004E-2</v>
      </c>
      <c r="E9" s="1">
        <v>70.3</v>
      </c>
      <c r="F9" s="1">
        <v>6.1980000000000004</v>
      </c>
      <c r="G9" s="1">
        <v>17.2</v>
      </c>
      <c r="H9" s="1">
        <v>11</v>
      </c>
      <c r="I9" s="10">
        <v>34.5</v>
      </c>
      <c r="J9" s="1">
        <v>8</v>
      </c>
      <c r="K9" s="8">
        <v>59.1</v>
      </c>
      <c r="L9" s="1">
        <v>10</v>
      </c>
      <c r="M9" s="8">
        <v>55.3</v>
      </c>
      <c r="N9" s="1">
        <v>11</v>
      </c>
    </row>
    <row r="10" spans="1:35" x14ac:dyDescent="0.2">
      <c r="A10" t="s">
        <v>54</v>
      </c>
      <c r="B10" t="s">
        <v>20</v>
      </c>
      <c r="C10">
        <v>4.3279999999999999E-2</v>
      </c>
      <c r="D10">
        <v>1.391E-2</v>
      </c>
      <c r="E10" s="1">
        <v>47.2</v>
      </c>
      <c r="F10" s="1">
        <v>4.5090000000000003</v>
      </c>
      <c r="G10" s="1">
        <v>5</v>
      </c>
      <c r="H10" s="1">
        <v>0</v>
      </c>
      <c r="I10" s="10">
        <v>21.2</v>
      </c>
      <c r="J10" s="1">
        <v>0</v>
      </c>
      <c r="K10" s="8">
        <v>20.8</v>
      </c>
      <c r="L10" s="1">
        <v>0</v>
      </c>
      <c r="M10" s="8">
        <v>53.8</v>
      </c>
      <c r="N10" s="1">
        <v>0</v>
      </c>
      <c r="O10" s="8">
        <v>32</v>
      </c>
      <c r="P10" s="1">
        <v>0</v>
      </c>
      <c r="Q10" s="8">
        <v>31.6</v>
      </c>
      <c r="R10" s="1">
        <v>0</v>
      </c>
      <c r="S10" s="8">
        <v>54.1</v>
      </c>
      <c r="T10" s="1">
        <v>0</v>
      </c>
      <c r="U10" s="8">
        <v>8.6</v>
      </c>
      <c r="V10" s="1">
        <v>0</v>
      </c>
      <c r="W10" s="8">
        <v>7.7</v>
      </c>
      <c r="X10" s="1">
        <v>0</v>
      </c>
      <c r="Y10" s="8">
        <v>7.5</v>
      </c>
      <c r="Z10" s="1">
        <v>0</v>
      </c>
    </row>
    <row r="11" spans="1:35" x14ac:dyDescent="0.2">
      <c r="A11" t="s">
        <v>54</v>
      </c>
      <c r="B11" t="s">
        <v>36</v>
      </c>
      <c r="C11">
        <v>1.065E-2</v>
      </c>
      <c r="D11">
        <v>5.9959999999999999E-2</v>
      </c>
      <c r="E11" s="1">
        <v>56.9</v>
      </c>
      <c r="F11" s="1">
        <v>3.9159999999999999</v>
      </c>
      <c r="G11" s="1">
        <v>14.2</v>
      </c>
      <c r="H11" s="1">
        <v>18</v>
      </c>
      <c r="I11" s="10">
        <v>35.299999999999997</v>
      </c>
      <c r="J11" s="1">
        <v>3</v>
      </c>
      <c r="K11" s="8">
        <v>41.1</v>
      </c>
      <c r="L11" s="1">
        <v>4</v>
      </c>
      <c r="M11" s="8">
        <v>48</v>
      </c>
      <c r="N11" s="1">
        <v>16</v>
      </c>
      <c r="O11" s="8">
        <v>54.5</v>
      </c>
      <c r="P11" s="1">
        <v>5</v>
      </c>
      <c r="Q11" s="8">
        <v>63.1</v>
      </c>
      <c r="R11" s="1">
        <v>6</v>
      </c>
      <c r="S11" s="8">
        <v>46.1</v>
      </c>
      <c r="T11" s="1">
        <v>10</v>
      </c>
      <c r="U11" s="8">
        <v>56.8</v>
      </c>
      <c r="V11" s="1">
        <v>6</v>
      </c>
      <c r="AI11" t="s">
        <v>69</v>
      </c>
    </row>
    <row r="12" spans="1:35" x14ac:dyDescent="0.2">
      <c r="A12" t="s">
        <v>54</v>
      </c>
      <c r="B12" t="s">
        <v>70</v>
      </c>
      <c r="C12">
        <v>2.7060000000000001E-2</v>
      </c>
      <c r="D12">
        <v>3.6949999999999997E-2</v>
      </c>
      <c r="E12" s="1">
        <v>62.3</v>
      </c>
      <c r="F12" s="1">
        <v>5.2320000000000002</v>
      </c>
      <c r="G12" s="1">
        <v>8.4</v>
      </c>
      <c r="H12" s="1">
        <v>0</v>
      </c>
      <c r="I12" s="10">
        <v>56.2</v>
      </c>
      <c r="J12" s="1">
        <v>0</v>
      </c>
    </row>
    <row r="13" spans="1:35" x14ac:dyDescent="0.2">
      <c r="A13" t="s">
        <v>54</v>
      </c>
      <c r="B13" t="s">
        <v>71</v>
      </c>
      <c r="C13">
        <v>3.0380000000000001E-2</v>
      </c>
      <c r="D13">
        <v>6.6460000000000005E-2</v>
      </c>
      <c r="E13" s="1">
        <v>50.3</v>
      </c>
      <c r="F13" s="1">
        <v>6.6989999999999998</v>
      </c>
      <c r="G13" s="1">
        <v>5.3</v>
      </c>
      <c r="H13" s="1">
        <v>9</v>
      </c>
      <c r="I13" s="10">
        <v>33</v>
      </c>
      <c r="J13" s="1">
        <v>4</v>
      </c>
      <c r="K13" s="8">
        <v>59.1</v>
      </c>
      <c r="L13" s="1">
        <v>15</v>
      </c>
      <c r="M13" s="8">
        <v>34.6</v>
      </c>
      <c r="N13" s="1">
        <v>5</v>
      </c>
      <c r="O13" s="8">
        <v>56.9</v>
      </c>
      <c r="P13" s="1">
        <v>19</v>
      </c>
      <c r="Q13" s="8">
        <v>47</v>
      </c>
      <c r="R13" s="1">
        <v>7</v>
      </c>
      <c r="S13" s="8">
        <v>55.4</v>
      </c>
      <c r="T13" s="1">
        <v>6</v>
      </c>
      <c r="U13" s="8">
        <v>54.2</v>
      </c>
      <c r="V13" s="1">
        <v>14</v>
      </c>
      <c r="W13" s="8">
        <v>54.8</v>
      </c>
      <c r="X13" s="1">
        <v>8</v>
      </c>
      <c r="Y13" s="8">
        <v>25</v>
      </c>
      <c r="Z13" s="1">
        <v>12</v>
      </c>
      <c r="AA13" s="8">
        <v>48.6</v>
      </c>
      <c r="AB13" s="1">
        <v>7</v>
      </c>
      <c r="AC13" s="8">
        <v>46</v>
      </c>
      <c r="AD13" s="1">
        <v>5</v>
      </c>
      <c r="AE13" s="3">
        <v>44.3</v>
      </c>
      <c r="AF13">
        <v>7</v>
      </c>
      <c r="AI13" t="s">
        <v>72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6BA99-DC15-8C4E-9FF8-5B159199F983}">
  <dimension ref="A1:AI13"/>
  <sheetViews>
    <sheetView zoomScale="150" zoomScaleNormal="150" workbookViewId="0">
      <selection sqref="A1:XFD1048576"/>
    </sheetView>
    <sheetView workbookViewId="1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4" width="5.1640625" bestFit="1" customWidth="1"/>
    <col min="15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63</v>
      </c>
      <c r="B2" s="1" t="s">
        <v>55</v>
      </c>
      <c r="C2" s="1">
        <v>3.8000000000000002E-4</v>
      </c>
      <c r="D2" s="1">
        <v>1.17E-3</v>
      </c>
      <c r="E2" s="1">
        <v>9.1999999999999993</v>
      </c>
      <c r="F2" s="1">
        <v>1.151</v>
      </c>
      <c r="G2" s="1">
        <v>7.5</v>
      </c>
      <c r="H2" s="1">
        <v>13</v>
      </c>
      <c r="I2" s="13">
        <v>9.1999999999999993</v>
      </c>
      <c r="J2" s="1">
        <v>12</v>
      </c>
      <c r="K2" s="1">
        <v>7.8</v>
      </c>
      <c r="M2" s="1">
        <v>2.6</v>
      </c>
    </row>
    <row r="3" spans="1:35" x14ac:dyDescent="0.2">
      <c r="A3" s="1" t="s">
        <v>63</v>
      </c>
      <c r="B3" s="1" t="s">
        <v>77</v>
      </c>
      <c r="C3" s="1">
        <v>1.9699999999999999E-2</v>
      </c>
      <c r="D3" s="1">
        <v>0.12609999999999999</v>
      </c>
      <c r="E3" s="1">
        <v>47.1</v>
      </c>
      <c r="F3" s="1">
        <v>3.73</v>
      </c>
      <c r="G3" s="1">
        <v>5.2</v>
      </c>
      <c r="H3" s="1">
        <v>8</v>
      </c>
      <c r="I3" s="13">
        <v>65.599999999999994</v>
      </c>
      <c r="J3" s="1">
        <v>8</v>
      </c>
      <c r="K3" s="1">
        <v>40.700000000000003</v>
      </c>
      <c r="L3" s="1">
        <v>5</v>
      </c>
      <c r="M3" s="1">
        <v>37.4</v>
      </c>
      <c r="N3" s="1">
        <v>0</v>
      </c>
      <c r="O3" s="1">
        <v>55.9</v>
      </c>
      <c r="P3" s="1">
        <v>3</v>
      </c>
      <c r="Q3" s="1">
        <v>44</v>
      </c>
      <c r="R3" s="1">
        <v>9</v>
      </c>
      <c r="S3" s="1">
        <v>49.8</v>
      </c>
      <c r="T3" s="1">
        <v>7</v>
      </c>
      <c r="U3" s="1">
        <v>55.4</v>
      </c>
      <c r="V3" s="1">
        <v>12</v>
      </c>
      <c r="W3" s="1" t="s">
        <v>78</v>
      </c>
      <c r="Y3" s="1" t="s">
        <v>78</v>
      </c>
      <c r="AA3" s="1" t="s">
        <v>78</v>
      </c>
      <c r="AC3" s="1" t="s">
        <v>78</v>
      </c>
    </row>
    <row r="4" spans="1:35" x14ac:dyDescent="0.2">
      <c r="A4" s="1" t="s">
        <v>63</v>
      </c>
      <c r="B4" s="1" t="s">
        <v>79</v>
      </c>
      <c r="C4" s="1">
        <v>4.8239999999999998E-2</v>
      </c>
      <c r="D4" s="1">
        <v>7.4310000000000001E-2</v>
      </c>
      <c r="E4" s="1">
        <v>59.5</v>
      </c>
      <c r="F4" s="1">
        <v>4.524</v>
      </c>
      <c r="G4" s="1">
        <v>6.4</v>
      </c>
      <c r="H4" s="1">
        <v>0</v>
      </c>
      <c r="I4" s="13">
        <v>31.5</v>
      </c>
      <c r="J4" s="1">
        <v>0</v>
      </c>
      <c r="K4" s="1">
        <v>75.599999999999994</v>
      </c>
      <c r="L4" s="1">
        <v>0</v>
      </c>
    </row>
    <row r="5" spans="1:35" x14ac:dyDescent="0.2">
      <c r="A5" s="1" t="s">
        <v>63</v>
      </c>
      <c r="B5" s="1" t="s">
        <v>36</v>
      </c>
      <c r="C5" s="1">
        <v>4.2729999999999997E-2</v>
      </c>
      <c r="D5" s="1">
        <v>1.4999999999999999E-4</v>
      </c>
      <c r="E5" s="1">
        <v>41.1</v>
      </c>
      <c r="F5" s="1">
        <v>5.2549999999999999</v>
      </c>
      <c r="G5" s="1">
        <v>9.1999999999999993</v>
      </c>
      <c r="H5" s="1">
        <v>31</v>
      </c>
      <c r="I5" s="13">
        <v>6.5</v>
      </c>
      <c r="J5" s="1">
        <v>0</v>
      </c>
    </row>
    <row r="6" spans="1:35" x14ac:dyDescent="0.2">
      <c r="A6" s="1" t="s">
        <v>63</v>
      </c>
      <c r="B6" s="1" t="s">
        <v>43</v>
      </c>
      <c r="C6" s="1">
        <v>5.4899999999999997E-2</v>
      </c>
      <c r="D6" s="1">
        <v>4.4650000000000002E-2</v>
      </c>
      <c r="E6" s="1">
        <v>31.2</v>
      </c>
      <c r="F6" s="1">
        <v>5.54</v>
      </c>
      <c r="G6" s="1">
        <v>9.5</v>
      </c>
      <c r="H6" s="1">
        <v>7</v>
      </c>
      <c r="I6" s="13">
        <v>50.4</v>
      </c>
      <c r="J6" s="1">
        <v>11</v>
      </c>
      <c r="K6" s="1">
        <v>25.8</v>
      </c>
      <c r="L6" s="1">
        <v>5</v>
      </c>
    </row>
    <row r="7" spans="1:35" x14ac:dyDescent="0.2">
      <c r="A7" s="1" t="s">
        <v>63</v>
      </c>
      <c r="B7" s="1" t="s">
        <v>80</v>
      </c>
      <c r="C7" s="1">
        <v>0.10037</v>
      </c>
      <c r="D7" s="1">
        <v>4.45E-3</v>
      </c>
      <c r="E7" s="1">
        <v>62.3</v>
      </c>
      <c r="F7" s="1">
        <v>5.1390000000000002</v>
      </c>
      <c r="G7" s="1">
        <v>9.5</v>
      </c>
      <c r="H7" s="1">
        <v>29</v>
      </c>
      <c r="I7" s="13">
        <v>49.1</v>
      </c>
      <c r="J7" s="1">
        <v>13</v>
      </c>
      <c r="K7" s="1">
        <v>32.9</v>
      </c>
      <c r="L7" s="1">
        <v>2</v>
      </c>
      <c r="M7" s="1">
        <v>24.1</v>
      </c>
      <c r="N7" s="1">
        <v>0</v>
      </c>
    </row>
    <row r="8" spans="1:35" x14ac:dyDescent="0.2">
      <c r="A8" s="1" t="s">
        <v>63</v>
      </c>
      <c r="B8" s="1" t="s">
        <v>56</v>
      </c>
      <c r="C8" s="1">
        <v>4.2819999999999997E-2</v>
      </c>
      <c r="D8" s="1">
        <v>7.9600000000000004E-2</v>
      </c>
      <c r="E8" s="1">
        <v>44.2</v>
      </c>
      <c r="F8" s="1">
        <v>7.2889999999999997</v>
      </c>
      <c r="G8" s="1">
        <v>6.5</v>
      </c>
      <c r="H8" s="1">
        <v>4</v>
      </c>
      <c r="I8" s="13">
        <v>48.7</v>
      </c>
      <c r="J8" s="1">
        <v>9</v>
      </c>
      <c r="K8" s="1">
        <v>61.4</v>
      </c>
      <c r="L8" s="1">
        <v>17</v>
      </c>
      <c r="M8" s="1">
        <v>58.9</v>
      </c>
      <c r="N8" s="1">
        <v>9</v>
      </c>
      <c r="O8" s="1">
        <v>58.9</v>
      </c>
      <c r="P8" s="1">
        <v>0</v>
      </c>
      <c r="Q8" s="1">
        <v>53.5</v>
      </c>
      <c r="R8" s="1">
        <v>7</v>
      </c>
      <c r="S8" s="1">
        <v>59.6</v>
      </c>
      <c r="T8" s="1">
        <v>0</v>
      </c>
    </row>
    <row r="9" spans="1:35" x14ac:dyDescent="0.2">
      <c r="A9" s="1" t="s">
        <v>63</v>
      </c>
      <c r="B9" s="1" t="s">
        <v>71</v>
      </c>
      <c r="C9" s="1">
        <v>9.7100000000000006E-2</v>
      </c>
      <c r="D9" s="1">
        <v>2.82E-3</v>
      </c>
      <c r="E9" s="1">
        <v>54.6</v>
      </c>
      <c r="F9" s="1">
        <v>6.218</v>
      </c>
      <c r="G9" s="1">
        <v>5.0999999999999996</v>
      </c>
      <c r="H9" s="1">
        <v>13</v>
      </c>
      <c r="I9" s="13">
        <v>50.2</v>
      </c>
      <c r="J9" s="1">
        <v>15</v>
      </c>
      <c r="K9" s="1">
        <v>6.5</v>
      </c>
      <c r="L9" s="1">
        <v>0</v>
      </c>
      <c r="AI9" t="s">
        <v>81</v>
      </c>
    </row>
    <row r="10" spans="1:35" x14ac:dyDescent="0.2">
      <c r="A10" s="1" t="s">
        <v>63</v>
      </c>
      <c r="B10" s="1" t="s">
        <v>37</v>
      </c>
      <c r="C10" s="1">
        <v>6.1080000000000002E-2</v>
      </c>
      <c r="D10" s="1">
        <v>7.3050000000000004E-2</v>
      </c>
      <c r="E10" s="1">
        <v>41.3</v>
      </c>
      <c r="F10" s="1">
        <v>6.7919999999999998</v>
      </c>
      <c r="G10" s="1">
        <v>4.4000000000000004</v>
      </c>
      <c r="H10" s="1">
        <v>10</v>
      </c>
      <c r="I10" s="13">
        <v>57.3</v>
      </c>
      <c r="J10" s="1">
        <v>9</v>
      </c>
      <c r="K10" s="1">
        <v>57.3</v>
      </c>
      <c r="L10" s="1">
        <v>12</v>
      </c>
      <c r="M10" s="1">
        <v>53.8</v>
      </c>
      <c r="N10" s="1">
        <v>13</v>
      </c>
      <c r="O10" s="1">
        <v>49.5</v>
      </c>
      <c r="P10" s="1">
        <v>5</v>
      </c>
      <c r="Q10" s="1">
        <v>58</v>
      </c>
      <c r="R10" s="1">
        <v>12</v>
      </c>
    </row>
    <row r="11" spans="1:35" x14ac:dyDescent="0.2">
      <c r="A11" s="1" t="s">
        <v>63</v>
      </c>
      <c r="B11" s="1" t="s">
        <v>82</v>
      </c>
      <c r="C11" s="1">
        <v>3.1859999999999999E-2</v>
      </c>
      <c r="D11" s="1">
        <v>3.2340000000000001E-2</v>
      </c>
      <c r="E11" s="1">
        <v>51.1</v>
      </c>
      <c r="F11" s="1">
        <v>4.5670000000000002</v>
      </c>
      <c r="G11" s="1">
        <v>9</v>
      </c>
      <c r="H11" s="1">
        <v>0</v>
      </c>
      <c r="I11" s="13">
        <v>25.9</v>
      </c>
      <c r="K11" s="1">
        <v>51.4</v>
      </c>
      <c r="M11" s="1">
        <v>45.5</v>
      </c>
      <c r="O11" s="1">
        <v>14.3</v>
      </c>
      <c r="Q11" s="1">
        <v>10.6</v>
      </c>
    </row>
    <row r="12" spans="1:35" x14ac:dyDescent="0.2">
      <c r="A12" s="1" t="s">
        <v>63</v>
      </c>
      <c r="B12" s="1" t="s">
        <v>83</v>
      </c>
      <c r="C12" s="1">
        <v>6.4130000000000006E-2</v>
      </c>
      <c r="D12" s="1">
        <v>9.2520000000000005E-2</v>
      </c>
      <c r="E12" s="1">
        <v>47.2</v>
      </c>
      <c r="F12" s="1">
        <v>4.0330000000000004</v>
      </c>
      <c r="G12" s="1">
        <v>4.5</v>
      </c>
      <c r="I12" s="13">
        <v>46.5</v>
      </c>
      <c r="K12" s="1">
        <v>51.3</v>
      </c>
      <c r="M12" s="1">
        <v>50.6</v>
      </c>
    </row>
    <row r="13" spans="1:35" x14ac:dyDescent="0.2">
      <c r="A13" s="1" t="s">
        <v>63</v>
      </c>
      <c r="B13" s="1" t="s">
        <v>84</v>
      </c>
      <c r="C13" s="1">
        <v>7.5770000000000004E-2</v>
      </c>
      <c r="D13" s="1">
        <v>0.10279000000000001</v>
      </c>
      <c r="E13" s="1">
        <v>57.9</v>
      </c>
      <c r="F13" s="1">
        <v>5.5330000000000004</v>
      </c>
      <c r="G13" s="1">
        <v>3.3</v>
      </c>
      <c r="H13" s="1">
        <v>0</v>
      </c>
      <c r="I13" s="13">
        <v>59.4</v>
      </c>
      <c r="K13" s="1">
        <v>48.5</v>
      </c>
      <c r="M13" s="1">
        <v>51.6</v>
      </c>
      <c r="O13" s="1">
        <v>49</v>
      </c>
      <c r="Q13" s="1">
        <v>55.8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AE0F-250B-D847-976E-C8A9B4541CE4}">
  <dimension ref="A1:AI13"/>
  <sheetViews>
    <sheetView zoomScale="160" zoomScaleNormal="160" workbookViewId="0">
      <pane ySplit="1" topLeftCell="A2" activePane="bottomLeft" state="frozen"/>
      <selection pane="bottomLeft" sqref="A1:XFD1"/>
    </sheetView>
    <sheetView workbookViewId="1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66</v>
      </c>
      <c r="B2" s="1" t="s">
        <v>77</v>
      </c>
      <c r="C2" s="1">
        <v>5.7959999999999998E-2</v>
      </c>
      <c r="D2" s="1">
        <v>3.6600000000000001E-3</v>
      </c>
      <c r="E2" s="1">
        <v>46.1</v>
      </c>
      <c r="F2" s="1">
        <v>7.4720000000000004</v>
      </c>
      <c r="G2" s="1">
        <v>9.5</v>
      </c>
      <c r="H2" s="1">
        <v>22</v>
      </c>
      <c r="I2" s="13">
        <v>15.5</v>
      </c>
      <c r="J2" s="1">
        <v>4</v>
      </c>
      <c r="K2" s="1">
        <v>15.2</v>
      </c>
      <c r="L2" s="1">
        <v>0</v>
      </c>
      <c r="M2" s="1">
        <v>7.3</v>
      </c>
      <c r="N2" s="1">
        <v>0</v>
      </c>
      <c r="O2" s="1">
        <v>16.7</v>
      </c>
      <c r="P2" s="1">
        <v>0</v>
      </c>
    </row>
    <row r="3" spans="1:35" x14ac:dyDescent="0.2">
      <c r="A3" s="1" t="s">
        <v>66</v>
      </c>
      <c r="B3" s="1" t="s">
        <v>84</v>
      </c>
      <c r="C3" s="1">
        <v>4.3790000000000003E-2</v>
      </c>
      <c r="D3" s="1">
        <v>0.10417</v>
      </c>
      <c r="E3" s="1">
        <v>62.1</v>
      </c>
      <c r="F3" s="1">
        <v>5.9480000000000004</v>
      </c>
      <c r="G3" s="1">
        <v>8.4</v>
      </c>
      <c r="I3" s="13">
        <v>58.7</v>
      </c>
      <c r="K3" s="1">
        <v>46.2</v>
      </c>
      <c r="M3" s="1">
        <v>56.3</v>
      </c>
      <c r="O3" s="1">
        <v>52.8</v>
      </c>
      <c r="Q3" s="1">
        <v>41.5</v>
      </c>
      <c r="S3" s="1">
        <v>42.5</v>
      </c>
      <c r="U3" s="1">
        <v>18.600000000000001</v>
      </c>
      <c r="V3" s="1"/>
      <c r="W3" s="1">
        <v>61.7</v>
      </c>
      <c r="Y3" s="1">
        <v>56.7</v>
      </c>
    </row>
    <row r="4" spans="1:35" x14ac:dyDescent="0.2">
      <c r="A4" s="1" t="s">
        <v>66</v>
      </c>
      <c r="B4" s="1" t="s">
        <v>83</v>
      </c>
      <c r="C4" s="1">
        <v>5.6410000000000002E-2</v>
      </c>
      <c r="D4" s="1">
        <v>8.9679999999999996E-2</v>
      </c>
      <c r="E4" s="1">
        <v>64.5</v>
      </c>
      <c r="F4" s="1">
        <v>4.7629999999999999</v>
      </c>
      <c r="G4" s="1">
        <v>12.4</v>
      </c>
      <c r="I4" s="13">
        <v>34.299999999999997</v>
      </c>
      <c r="K4" s="1">
        <v>57.5</v>
      </c>
      <c r="M4" s="1">
        <v>58.2</v>
      </c>
      <c r="O4" s="1">
        <v>28.7</v>
      </c>
      <c r="Q4" s="1">
        <v>37.4</v>
      </c>
      <c r="S4" s="1">
        <v>27.1</v>
      </c>
      <c r="U4" s="1">
        <v>65.8</v>
      </c>
      <c r="W4" s="1">
        <v>62.5</v>
      </c>
      <c r="Y4" s="1">
        <v>62.3</v>
      </c>
    </row>
    <row r="5" spans="1:35" x14ac:dyDescent="0.2">
      <c r="A5" s="1" t="s">
        <v>66</v>
      </c>
      <c r="B5" s="1" t="s">
        <v>36</v>
      </c>
      <c r="C5" s="1">
        <v>2.7519999999999999E-2</v>
      </c>
      <c r="D5" s="1">
        <v>5.7979999999999997E-2</v>
      </c>
      <c r="E5" s="1">
        <v>71.2</v>
      </c>
      <c r="F5" s="1">
        <v>3.7559999999999998</v>
      </c>
      <c r="G5" s="1">
        <v>9.1999999999999993</v>
      </c>
      <c r="H5" s="1">
        <v>4</v>
      </c>
      <c r="I5" s="13">
        <v>74.3</v>
      </c>
      <c r="J5" s="1">
        <v>0</v>
      </c>
      <c r="K5" s="1">
        <v>28.5</v>
      </c>
      <c r="L5" s="1">
        <v>0</v>
      </c>
      <c r="M5" s="1">
        <v>17.100000000000001</v>
      </c>
      <c r="N5" s="1">
        <v>0</v>
      </c>
    </row>
    <row r="6" spans="1:35" x14ac:dyDescent="0.2">
      <c r="A6" s="1" t="s">
        <v>66</v>
      </c>
      <c r="B6" s="1" t="s">
        <v>37</v>
      </c>
      <c r="C6" s="1">
        <v>3.4959999999999998E-2</v>
      </c>
      <c r="D6" s="1">
        <v>9.4500000000000001E-2</v>
      </c>
      <c r="E6" s="1">
        <v>54.9</v>
      </c>
      <c r="F6" s="1">
        <v>4.7270000000000003</v>
      </c>
      <c r="G6" s="1">
        <v>9.1</v>
      </c>
      <c r="H6" s="1">
        <v>10</v>
      </c>
      <c r="I6" s="13">
        <v>25.3</v>
      </c>
      <c r="J6" s="1">
        <v>6</v>
      </c>
      <c r="K6" s="1">
        <v>56.1</v>
      </c>
      <c r="L6" s="1">
        <v>29</v>
      </c>
      <c r="M6" s="1">
        <v>18.3</v>
      </c>
      <c r="N6" s="1">
        <v>0</v>
      </c>
      <c r="O6" s="1">
        <v>52.2</v>
      </c>
      <c r="P6" s="1">
        <v>29</v>
      </c>
      <c r="Q6" s="1">
        <v>11.1</v>
      </c>
      <c r="R6" s="1">
        <v>0</v>
      </c>
      <c r="S6" s="1">
        <v>29.2</v>
      </c>
      <c r="T6" s="1">
        <v>4</v>
      </c>
      <c r="U6" s="1">
        <v>50.5</v>
      </c>
      <c r="V6" s="1">
        <v>17</v>
      </c>
      <c r="W6" s="1">
        <v>50.5</v>
      </c>
      <c r="X6" s="1">
        <v>18</v>
      </c>
      <c r="Y6" s="1">
        <v>50.3</v>
      </c>
      <c r="Z6" s="1">
        <v>3</v>
      </c>
      <c r="AA6" s="1">
        <v>54.5</v>
      </c>
      <c r="AB6" s="1">
        <v>8</v>
      </c>
      <c r="AC6" s="1">
        <v>56.1</v>
      </c>
      <c r="AD6" s="1">
        <v>8</v>
      </c>
    </row>
    <row r="7" spans="1:35" x14ac:dyDescent="0.2">
      <c r="A7" s="1" t="s">
        <v>66</v>
      </c>
      <c r="B7" s="1" t="s">
        <v>79</v>
      </c>
      <c r="C7" s="1">
        <v>7.2050000000000003E-2</v>
      </c>
      <c r="D7" s="1">
        <v>0.10722</v>
      </c>
      <c r="E7" s="1">
        <v>85.6</v>
      </c>
      <c r="F7" s="1">
        <v>6.84</v>
      </c>
      <c r="G7" s="1">
        <v>7.5</v>
      </c>
      <c r="I7" s="13">
        <v>70.400000000000006</v>
      </c>
      <c r="K7" s="1">
        <v>78.400000000000006</v>
      </c>
      <c r="M7" s="1">
        <v>77</v>
      </c>
    </row>
    <row r="8" spans="1:35" x14ac:dyDescent="0.2">
      <c r="A8" s="1" t="s">
        <v>66</v>
      </c>
      <c r="B8" s="1" t="s">
        <v>55</v>
      </c>
      <c r="C8" s="1">
        <v>5.3580000000000003E-2</v>
      </c>
      <c r="D8" s="1">
        <v>3.1789999999999999E-2</v>
      </c>
      <c r="E8" s="1">
        <v>38.1</v>
      </c>
      <c r="F8" s="1">
        <v>6.4189999999999996</v>
      </c>
      <c r="G8" s="1">
        <v>10.6</v>
      </c>
      <c r="H8" s="1">
        <v>0</v>
      </c>
      <c r="I8" s="13">
        <v>5.5</v>
      </c>
      <c r="J8" s="1">
        <v>0</v>
      </c>
      <c r="K8" s="1">
        <v>10.5</v>
      </c>
      <c r="L8" s="1">
        <v>0</v>
      </c>
      <c r="M8" s="1">
        <v>38.200000000000003</v>
      </c>
      <c r="N8" s="1">
        <v>6</v>
      </c>
    </row>
    <row r="9" spans="1:35" x14ac:dyDescent="0.2">
      <c r="A9" s="1" t="s">
        <v>66</v>
      </c>
      <c r="B9" s="1" t="s">
        <v>56</v>
      </c>
      <c r="C9" s="1">
        <v>3.8809999999999997E-2</v>
      </c>
      <c r="D9" s="1">
        <v>6.1060000000000003E-2</v>
      </c>
      <c r="E9" s="1">
        <v>50.1</v>
      </c>
      <c r="F9" s="1">
        <v>5.54</v>
      </c>
      <c r="G9" s="1">
        <v>7.7</v>
      </c>
      <c r="H9" s="1">
        <v>22</v>
      </c>
      <c r="I9" s="13">
        <v>58.8</v>
      </c>
      <c r="J9" s="1">
        <v>33</v>
      </c>
      <c r="K9" s="1">
        <v>60.5</v>
      </c>
      <c r="L9" s="1">
        <v>16</v>
      </c>
      <c r="M9" s="1">
        <v>57.2</v>
      </c>
      <c r="N9" s="1">
        <v>35</v>
      </c>
    </row>
    <row r="10" spans="1:35" x14ac:dyDescent="0.2">
      <c r="A10" s="1" t="s">
        <v>66</v>
      </c>
      <c r="B10" s="1" t="s">
        <v>43</v>
      </c>
      <c r="C10" s="1">
        <v>7.9189999999999997E-2</v>
      </c>
      <c r="D10" s="1">
        <v>4.607E-2</v>
      </c>
      <c r="E10" s="1">
        <v>56</v>
      </c>
      <c r="F10" s="1">
        <v>7.96</v>
      </c>
      <c r="G10" s="1">
        <v>8.1999999999999993</v>
      </c>
      <c r="H10" s="1">
        <v>25</v>
      </c>
      <c r="I10" s="13">
        <v>65.2</v>
      </c>
      <c r="J10" s="1">
        <v>14</v>
      </c>
      <c r="K10" s="1">
        <v>35.5</v>
      </c>
      <c r="L10" s="1">
        <v>7</v>
      </c>
    </row>
    <row r="11" spans="1:35" x14ac:dyDescent="0.2">
      <c r="A11" s="1" t="s">
        <v>66</v>
      </c>
      <c r="B11" s="1" t="s">
        <v>80</v>
      </c>
      <c r="C11" s="1">
        <v>3.9759999999999997E-2</v>
      </c>
      <c r="D11" s="1">
        <v>0.11509999999999999</v>
      </c>
      <c r="E11" s="1">
        <v>58.5</v>
      </c>
      <c r="F11" s="1">
        <v>4.6689999999999996</v>
      </c>
      <c r="G11" s="1">
        <v>7.9</v>
      </c>
      <c r="H11" s="1">
        <v>2</v>
      </c>
      <c r="I11" s="13">
        <v>40.200000000000003</v>
      </c>
      <c r="J11" s="1">
        <v>0</v>
      </c>
      <c r="K11" s="1">
        <v>10.1</v>
      </c>
      <c r="L11" s="1">
        <v>0</v>
      </c>
      <c r="M11" s="1">
        <v>7.8</v>
      </c>
      <c r="N11" s="1">
        <v>0</v>
      </c>
      <c r="O11" s="1">
        <v>58.2</v>
      </c>
      <c r="P11" s="1">
        <v>4</v>
      </c>
      <c r="Q11" s="1">
        <v>59.2</v>
      </c>
      <c r="R11" s="1">
        <v>0</v>
      </c>
      <c r="S11" s="1">
        <v>34.700000000000003</v>
      </c>
      <c r="T11" s="1">
        <v>0</v>
      </c>
      <c r="U11" s="1">
        <v>23.7</v>
      </c>
      <c r="V11" s="1">
        <v>3</v>
      </c>
      <c r="W11" s="1">
        <v>64</v>
      </c>
      <c r="X11" s="1">
        <v>1</v>
      </c>
    </row>
    <row r="12" spans="1:35" x14ac:dyDescent="0.2">
      <c r="A12" s="1" t="s">
        <v>66</v>
      </c>
      <c r="B12" s="1" t="s">
        <v>71</v>
      </c>
      <c r="C12" s="1">
        <v>3.6749999999999998E-2</v>
      </c>
      <c r="D12" s="1">
        <v>9.2259999999999995E-2</v>
      </c>
      <c r="E12" s="1">
        <v>45.3</v>
      </c>
      <c r="F12" s="1">
        <v>4.5339999999999998</v>
      </c>
      <c r="G12" s="1">
        <v>10.1</v>
      </c>
      <c r="H12" s="1">
        <v>7</v>
      </c>
      <c r="I12" s="13">
        <v>32</v>
      </c>
      <c r="J12" s="1">
        <v>0</v>
      </c>
      <c r="K12" s="1">
        <v>52.5</v>
      </c>
      <c r="L12" s="1">
        <v>15</v>
      </c>
      <c r="M12" s="1">
        <v>50.3</v>
      </c>
      <c r="N12" s="1">
        <v>16</v>
      </c>
      <c r="O12" s="1">
        <v>51.2</v>
      </c>
      <c r="P12" s="1">
        <v>18</v>
      </c>
      <c r="Q12" s="1">
        <v>54</v>
      </c>
      <c r="R12" s="1">
        <v>9</v>
      </c>
      <c r="S12" s="1">
        <v>18.100000000000001</v>
      </c>
      <c r="T12" s="1">
        <v>0</v>
      </c>
      <c r="U12" s="1">
        <v>4.5</v>
      </c>
      <c r="V12" s="1">
        <v>0</v>
      </c>
      <c r="W12" s="1">
        <v>55.5</v>
      </c>
      <c r="X12" s="1">
        <v>6</v>
      </c>
    </row>
    <row r="13" spans="1:35" x14ac:dyDescent="0.2">
      <c r="A13" s="1" t="s">
        <v>66</v>
      </c>
      <c r="B13" s="1" t="s">
        <v>82</v>
      </c>
      <c r="C13" s="1">
        <v>3.5389999999999998E-2</v>
      </c>
      <c r="D13" s="1">
        <v>8.1920000000000007E-2</v>
      </c>
      <c r="E13" s="1">
        <v>51.5</v>
      </c>
      <c r="F13" s="1">
        <v>4.673</v>
      </c>
      <c r="G13" s="1">
        <v>10.8</v>
      </c>
      <c r="H13" s="1">
        <v>0</v>
      </c>
      <c r="I13" s="13">
        <v>75.400000000000006</v>
      </c>
      <c r="J13" s="1">
        <v>0</v>
      </c>
      <c r="K13" s="1">
        <v>68.2</v>
      </c>
      <c r="L13" s="1">
        <v>0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D8DE-360A-2C4B-BE9F-6F53F408111D}">
  <dimension ref="A1:H49"/>
  <sheetViews>
    <sheetView zoomScale="140" zoomScaleNormal="140" workbookViewId="0">
      <pane ySplit="1" topLeftCell="A29" activePane="bottomLeft" state="frozen"/>
      <selection pane="bottomLeft" activeCell="C51" sqref="C51"/>
    </sheetView>
    <sheetView topLeftCell="A23" workbookViewId="1">
      <selection activeCell="H50" sqref="H50"/>
    </sheetView>
  </sheetViews>
  <sheetFormatPr baseColWidth="10" defaultRowHeight="16" x14ac:dyDescent="0.2"/>
  <cols>
    <col min="4" max="4" width="9.33203125" style="1" bestFit="1" customWidth="1"/>
    <col min="5" max="5" width="4.5" style="1" customWidth="1"/>
    <col min="6" max="6" width="14.1640625" style="1" bestFit="1" customWidth="1"/>
    <col min="7" max="7" width="14.83203125" style="1" bestFit="1" customWidth="1"/>
    <col min="8" max="8" width="14.1640625" style="1" bestFit="1" customWidth="1"/>
  </cols>
  <sheetData>
    <row r="1" spans="1:8" x14ac:dyDescent="0.2">
      <c r="A1" t="s">
        <v>3</v>
      </c>
      <c r="B1" t="s">
        <v>1</v>
      </c>
      <c r="C1" t="s">
        <v>76</v>
      </c>
      <c r="D1" s="1" t="s">
        <v>62</v>
      </c>
      <c r="E1" s="1" t="s">
        <v>61</v>
      </c>
      <c r="F1" s="1" t="s">
        <v>74</v>
      </c>
      <c r="G1" s="1" t="s">
        <v>73</v>
      </c>
      <c r="H1" s="1" t="s">
        <v>75</v>
      </c>
    </row>
    <row r="2" spans="1:8" x14ac:dyDescent="0.2">
      <c r="A2" t="s">
        <v>4</v>
      </c>
      <c r="B2" t="s">
        <v>20</v>
      </c>
      <c r="C2" t="str">
        <f>A2&amp;B2</f>
        <v>AY3C</v>
      </c>
      <c r="D2" s="1" t="s">
        <v>63</v>
      </c>
      <c r="E2" s="1" t="s">
        <v>65</v>
      </c>
      <c r="F2" s="1">
        <v>2.3400000000000001E-3</v>
      </c>
      <c r="G2" s="1">
        <v>4.9100000000000003E-3</v>
      </c>
    </row>
    <row r="3" spans="1:8" x14ac:dyDescent="0.2">
      <c r="A3" t="s">
        <v>4</v>
      </c>
      <c r="B3" t="s">
        <v>35</v>
      </c>
      <c r="C3" t="str">
        <f t="shared" ref="C3:C37" si="0">A3&amp;B3</f>
        <v>AD3C</v>
      </c>
      <c r="D3" s="1" t="s">
        <v>63</v>
      </c>
      <c r="E3" s="1" t="s">
        <v>66</v>
      </c>
      <c r="F3" s="1">
        <v>3.15E-3</v>
      </c>
      <c r="G3" s="1">
        <v>2.426E-2</v>
      </c>
    </row>
    <row r="4" spans="1:8" x14ac:dyDescent="0.2">
      <c r="A4" t="s">
        <v>4</v>
      </c>
      <c r="B4" t="s">
        <v>31</v>
      </c>
      <c r="C4" t="str">
        <f t="shared" si="0"/>
        <v>AD2I</v>
      </c>
      <c r="D4" s="1" t="s">
        <v>64</v>
      </c>
      <c r="E4" s="1" t="s">
        <v>66</v>
      </c>
      <c r="F4" s="1">
        <v>5.96E-3</v>
      </c>
      <c r="G4" s="1">
        <v>1.1820000000000001E-2</v>
      </c>
    </row>
    <row r="5" spans="1:8" x14ac:dyDescent="0.2">
      <c r="A5" t="s">
        <v>4</v>
      </c>
      <c r="B5" t="s">
        <v>15</v>
      </c>
      <c r="C5" t="str">
        <f t="shared" si="0"/>
        <v>AY4C</v>
      </c>
      <c r="D5" s="1" t="s">
        <v>63</v>
      </c>
      <c r="E5" s="1" t="s">
        <v>65</v>
      </c>
      <c r="F5" s="1">
        <v>9.3999999999999997E-4</v>
      </c>
      <c r="G5" s="1">
        <v>5.1399999999999996E-3</v>
      </c>
    </row>
    <row r="6" spans="1:8" x14ac:dyDescent="0.2">
      <c r="A6" t="s">
        <v>4</v>
      </c>
      <c r="B6" t="s">
        <v>37</v>
      </c>
      <c r="C6" t="str">
        <f t="shared" si="0"/>
        <v>AY6I</v>
      </c>
      <c r="D6" s="1" t="s">
        <v>64</v>
      </c>
      <c r="E6" s="1" t="s">
        <v>65</v>
      </c>
      <c r="F6" s="1">
        <v>2.5100000000000001E-3</v>
      </c>
      <c r="G6" s="1">
        <v>2.3000000000000001E-4</v>
      </c>
    </row>
    <row r="7" spans="1:8" x14ac:dyDescent="0.2">
      <c r="A7" t="s">
        <v>4</v>
      </c>
      <c r="B7" t="s">
        <v>43</v>
      </c>
      <c r="C7" t="str">
        <f t="shared" si="0"/>
        <v>AD6I</v>
      </c>
      <c r="D7" s="1" t="s">
        <v>64</v>
      </c>
      <c r="E7" s="1" t="s">
        <v>66</v>
      </c>
      <c r="F7" s="1">
        <v>2.4099999999999998E-3</v>
      </c>
      <c r="G7" s="1">
        <v>1.376E-2</v>
      </c>
    </row>
    <row r="8" spans="1:8" x14ac:dyDescent="0.2">
      <c r="A8" t="s">
        <v>4</v>
      </c>
      <c r="B8" t="s">
        <v>34</v>
      </c>
      <c r="C8" t="str">
        <f t="shared" si="0"/>
        <v>AY2I</v>
      </c>
      <c r="D8" s="1" t="s">
        <v>64</v>
      </c>
      <c r="E8" s="1" t="s">
        <v>65</v>
      </c>
      <c r="F8" s="1">
        <v>2.2499999999999998E-3</v>
      </c>
      <c r="G8" s="1">
        <v>3.1900000000000001E-3</v>
      </c>
    </row>
    <row r="9" spans="1:8" x14ac:dyDescent="0.2">
      <c r="A9" t="s">
        <v>4</v>
      </c>
      <c r="B9" t="s">
        <v>21</v>
      </c>
      <c r="C9" t="str">
        <f t="shared" si="0"/>
        <v>AY1I</v>
      </c>
      <c r="D9" s="1" t="s">
        <v>64</v>
      </c>
      <c r="E9" s="1" t="s">
        <v>65</v>
      </c>
      <c r="F9" s="1">
        <v>8.3599999999999994E-3</v>
      </c>
      <c r="G9" s="1">
        <v>2.2799999999999999E-3</v>
      </c>
    </row>
    <row r="10" spans="1:8" x14ac:dyDescent="0.2">
      <c r="A10" t="s">
        <v>4</v>
      </c>
      <c r="B10" t="s">
        <v>5</v>
      </c>
      <c r="C10" t="str">
        <f t="shared" si="0"/>
        <v>AD4C</v>
      </c>
      <c r="D10" s="1" t="s">
        <v>63</v>
      </c>
      <c r="E10" s="1" t="s">
        <v>66</v>
      </c>
      <c r="F10" s="1">
        <v>1.145E-2</v>
      </c>
      <c r="G10" s="1">
        <v>1.235E-2</v>
      </c>
    </row>
    <row r="11" spans="1:8" x14ac:dyDescent="0.2">
      <c r="A11" t="s">
        <v>4</v>
      </c>
      <c r="B11" t="s">
        <v>36</v>
      </c>
      <c r="C11" t="str">
        <f t="shared" si="0"/>
        <v>AD5I</v>
      </c>
      <c r="D11" s="1" t="s">
        <v>64</v>
      </c>
      <c r="E11" s="1" t="s">
        <v>66</v>
      </c>
      <c r="F11" s="1">
        <v>4.2500000000000003E-3</v>
      </c>
      <c r="G11" s="1">
        <v>4.9500000000000004E-3</v>
      </c>
    </row>
    <row r="12" spans="1:8" s="11" customFormat="1" x14ac:dyDescent="0.2">
      <c r="A12" s="11" t="s">
        <v>4</v>
      </c>
      <c r="B12" s="11" t="s">
        <v>44</v>
      </c>
      <c r="C12" s="11" t="str">
        <f t="shared" si="0"/>
        <v>AD1I</v>
      </c>
      <c r="D12" s="12" t="s">
        <v>64</v>
      </c>
      <c r="E12" s="12" t="s">
        <v>66</v>
      </c>
      <c r="F12" s="12">
        <v>1.289E-2</v>
      </c>
      <c r="G12" s="12">
        <v>4.62E-3</v>
      </c>
      <c r="H12" s="12"/>
    </row>
    <row r="13" spans="1:8" x14ac:dyDescent="0.2">
      <c r="A13" t="s">
        <v>54</v>
      </c>
      <c r="B13" t="s">
        <v>71</v>
      </c>
      <c r="C13" t="str">
        <f t="shared" si="0"/>
        <v>BY4I</v>
      </c>
      <c r="D13" s="1" t="str">
        <f>RIGHT(C13,1)</f>
        <v>I</v>
      </c>
      <c r="E13" s="1" t="str">
        <f>LEFT(B13,1)</f>
        <v>Y</v>
      </c>
      <c r="F13" s="1">
        <v>9.1900000000000003E-3</v>
      </c>
      <c r="G13" s="1">
        <v>8.8199999999999997E-3</v>
      </c>
      <c r="H13" s="1">
        <v>1.865E-2</v>
      </c>
    </row>
    <row r="14" spans="1:8" x14ac:dyDescent="0.2">
      <c r="A14" t="s">
        <v>54</v>
      </c>
      <c r="B14" t="s">
        <v>36</v>
      </c>
      <c r="C14" t="str">
        <f t="shared" si="0"/>
        <v>BD5I</v>
      </c>
      <c r="D14" s="1" t="str">
        <f t="shared" ref="D14:D37" si="1">RIGHT(C14,1)</f>
        <v>I</v>
      </c>
      <c r="E14" s="1" t="str">
        <f t="shared" ref="E14:E38" si="2">LEFT(B14,1)</f>
        <v>D</v>
      </c>
      <c r="F14" s="1">
        <v>4.3099999999999996E-3</v>
      </c>
      <c r="G14" s="1">
        <v>3.62E-3</v>
      </c>
      <c r="H14" s="1">
        <v>1.9730000000000001E-2</v>
      </c>
    </row>
    <row r="15" spans="1:8" x14ac:dyDescent="0.2">
      <c r="A15" t="s">
        <v>54</v>
      </c>
      <c r="B15" t="s">
        <v>20</v>
      </c>
      <c r="C15" t="str">
        <f t="shared" si="0"/>
        <v>BY3C</v>
      </c>
      <c r="D15" s="1" t="str">
        <f t="shared" si="1"/>
        <v>C</v>
      </c>
      <c r="E15" s="1" t="str">
        <f t="shared" si="2"/>
        <v>Y</v>
      </c>
      <c r="F15" s="1">
        <v>1.265E-2</v>
      </c>
      <c r="G15" s="1">
        <v>1.154E-2</v>
      </c>
      <c r="H15" s="1">
        <v>3.0500000000000002E-3</v>
      </c>
    </row>
    <row r="16" spans="1:8" x14ac:dyDescent="0.2">
      <c r="A16" t="s">
        <v>54</v>
      </c>
      <c r="B16" t="s">
        <v>44</v>
      </c>
      <c r="C16" t="str">
        <f t="shared" si="0"/>
        <v>BD1I</v>
      </c>
      <c r="D16" s="1" t="str">
        <f t="shared" si="1"/>
        <v>I</v>
      </c>
      <c r="E16" s="1" t="str">
        <f t="shared" si="2"/>
        <v>D</v>
      </c>
      <c r="F16" s="1">
        <v>4.6800000000000001E-3</v>
      </c>
      <c r="G16" s="1">
        <v>7.7999999999999996E-3</v>
      </c>
      <c r="H16" s="1">
        <v>1.704E-2</v>
      </c>
    </row>
    <row r="17" spans="1:8" x14ac:dyDescent="0.2">
      <c r="A17" t="s">
        <v>54</v>
      </c>
      <c r="B17" t="s">
        <v>68</v>
      </c>
      <c r="C17" t="str">
        <f t="shared" si="0"/>
        <v>BY6C</v>
      </c>
      <c r="D17" s="1" t="str">
        <f t="shared" si="1"/>
        <v>C</v>
      </c>
      <c r="E17" s="1" t="str">
        <f t="shared" si="2"/>
        <v>Y</v>
      </c>
      <c r="F17" s="1">
        <v>1.008E-2</v>
      </c>
      <c r="G17" s="1">
        <v>1.1979999999999999E-2</v>
      </c>
      <c r="H17" s="1">
        <v>2.1440000000000001E-2</v>
      </c>
    </row>
    <row r="18" spans="1:8" x14ac:dyDescent="0.2">
      <c r="A18" t="s">
        <v>54</v>
      </c>
      <c r="B18" t="s">
        <v>35</v>
      </c>
      <c r="C18" t="str">
        <f t="shared" si="0"/>
        <v>BD3C</v>
      </c>
      <c r="D18" s="1" t="str">
        <f t="shared" si="1"/>
        <v>C</v>
      </c>
      <c r="E18" s="1" t="str">
        <f t="shared" si="2"/>
        <v>D</v>
      </c>
      <c r="G18" s="1">
        <v>1.6639999999999999E-2</v>
      </c>
      <c r="H18" s="1">
        <v>1.7639999999999999E-2</v>
      </c>
    </row>
    <row r="19" spans="1:8" x14ac:dyDescent="0.2">
      <c r="A19" t="s">
        <v>54</v>
      </c>
      <c r="B19" t="s">
        <v>56</v>
      </c>
      <c r="C19" t="str">
        <f t="shared" si="0"/>
        <v>BY5I</v>
      </c>
      <c r="D19" s="1" t="str">
        <f t="shared" si="1"/>
        <v>I</v>
      </c>
      <c r="E19" s="1" t="str">
        <f t="shared" si="2"/>
        <v>Y</v>
      </c>
      <c r="G19" s="1">
        <v>1.2579999999999999E-2</v>
      </c>
      <c r="H19" s="1">
        <v>2.1160000000000002E-2</v>
      </c>
    </row>
    <row r="20" spans="1:8" x14ac:dyDescent="0.2">
      <c r="A20" t="s">
        <v>54</v>
      </c>
      <c r="B20" t="s">
        <v>31</v>
      </c>
      <c r="C20" t="str">
        <f t="shared" si="0"/>
        <v>BD2I</v>
      </c>
      <c r="D20" s="1" t="str">
        <f t="shared" si="1"/>
        <v>I</v>
      </c>
      <c r="E20" s="1" t="str">
        <f t="shared" si="2"/>
        <v>D</v>
      </c>
      <c r="F20" s="1">
        <v>5.9899999999999997E-3</v>
      </c>
      <c r="G20" s="1">
        <v>1.3339999999999999E-2</v>
      </c>
      <c r="H20" s="1">
        <v>1.9349999999999999E-2</v>
      </c>
    </row>
    <row r="21" spans="1:8" x14ac:dyDescent="0.2">
      <c r="A21" t="s">
        <v>54</v>
      </c>
      <c r="B21" t="s">
        <v>21</v>
      </c>
      <c r="C21" t="str">
        <f t="shared" si="0"/>
        <v>BY1I</v>
      </c>
      <c r="D21" s="1" t="str">
        <f t="shared" si="1"/>
        <v>I</v>
      </c>
      <c r="E21" s="1" t="str">
        <f t="shared" si="2"/>
        <v>Y</v>
      </c>
      <c r="F21" s="1">
        <v>6.6299999999999996E-3</v>
      </c>
      <c r="G21" s="1">
        <v>1.0019999999999999E-2</v>
      </c>
      <c r="H21" s="1">
        <v>1.8069999999999999E-2</v>
      </c>
    </row>
    <row r="22" spans="1:8" x14ac:dyDescent="0.2">
      <c r="A22" t="s">
        <v>54</v>
      </c>
      <c r="B22" t="s">
        <v>55</v>
      </c>
      <c r="C22" t="str">
        <f t="shared" si="0"/>
        <v>BD4I</v>
      </c>
      <c r="D22" s="1" t="str">
        <f t="shared" si="1"/>
        <v>I</v>
      </c>
      <c r="E22" s="1" t="str">
        <f t="shared" si="2"/>
        <v>D</v>
      </c>
      <c r="G22" s="1">
        <v>2.8300000000000001E-3</v>
      </c>
      <c r="H22" s="1">
        <v>1.4409999999999999E-2</v>
      </c>
    </row>
    <row r="23" spans="1:8" x14ac:dyDescent="0.2">
      <c r="A23" t="s">
        <v>54</v>
      </c>
      <c r="B23" t="s">
        <v>34</v>
      </c>
      <c r="C23" t="str">
        <f t="shared" si="0"/>
        <v>BY2I</v>
      </c>
      <c r="D23" s="1" t="str">
        <f t="shared" si="1"/>
        <v>I</v>
      </c>
      <c r="E23" s="1" t="str">
        <f t="shared" si="2"/>
        <v>Y</v>
      </c>
      <c r="G23" s="1">
        <v>1.384E-2</v>
      </c>
      <c r="H23" s="1">
        <v>6.3299999999999997E-3</v>
      </c>
    </row>
    <row r="24" spans="1:8" s="11" customFormat="1" x14ac:dyDescent="0.2">
      <c r="A24" s="11" t="s">
        <v>54</v>
      </c>
      <c r="B24" s="11" t="s">
        <v>70</v>
      </c>
      <c r="C24" s="11" t="str">
        <f t="shared" si="0"/>
        <v>BD6C</v>
      </c>
      <c r="D24" s="12" t="str">
        <f t="shared" si="1"/>
        <v>C</v>
      </c>
      <c r="E24" s="12" t="str">
        <f t="shared" si="2"/>
        <v>D</v>
      </c>
      <c r="F24" s="12">
        <v>4.0099999999999997E-3</v>
      </c>
      <c r="G24" s="12">
        <v>8.9200000000000008E-3</v>
      </c>
      <c r="H24" s="12">
        <v>1.214E-2</v>
      </c>
    </row>
    <row r="25" spans="1:8" x14ac:dyDescent="0.2">
      <c r="A25" t="s">
        <v>63</v>
      </c>
      <c r="B25" t="s">
        <v>84</v>
      </c>
      <c r="C25" t="str">
        <f t="shared" si="0"/>
        <v>CY1C</v>
      </c>
      <c r="D25" s="1" t="str">
        <f t="shared" si="1"/>
        <v>C</v>
      </c>
      <c r="E25" s="1" t="str">
        <f t="shared" si="2"/>
        <v>Y</v>
      </c>
      <c r="F25" s="1">
        <v>5.94E-3</v>
      </c>
      <c r="G25" s="1">
        <v>1.8350000000000002E-2</v>
      </c>
      <c r="H25" s="1">
        <v>2.564E-2</v>
      </c>
    </row>
    <row r="26" spans="1:8" x14ac:dyDescent="0.2">
      <c r="A26" t="s">
        <v>63</v>
      </c>
      <c r="B26" t="s">
        <v>55</v>
      </c>
      <c r="C26" t="str">
        <f t="shared" si="0"/>
        <v>CD4I</v>
      </c>
      <c r="D26" s="1" t="str">
        <f t="shared" si="1"/>
        <v>I</v>
      </c>
      <c r="E26" s="1" t="str">
        <f t="shared" si="2"/>
        <v>D</v>
      </c>
      <c r="F26" s="1">
        <v>2.2499999999999998E-3</v>
      </c>
      <c r="G26" s="1">
        <v>3.4000000000000002E-4</v>
      </c>
      <c r="H26" s="1">
        <v>2.3000000000000001E-4</v>
      </c>
    </row>
    <row r="27" spans="1:8" x14ac:dyDescent="0.2">
      <c r="A27" t="s">
        <v>63</v>
      </c>
      <c r="B27" t="s">
        <v>37</v>
      </c>
      <c r="C27" t="str">
        <f t="shared" si="0"/>
        <v>CY6I</v>
      </c>
      <c r="D27" s="1" t="str">
        <f t="shared" si="1"/>
        <v>I</v>
      </c>
      <c r="E27" s="1" t="str">
        <f t="shared" si="2"/>
        <v>Y</v>
      </c>
      <c r="F27" s="1">
        <v>9.0100000000000006E-3</v>
      </c>
      <c r="G27" s="1">
        <v>2.2259999999999999E-2</v>
      </c>
      <c r="H27" s="1">
        <v>2.4469999999999999E-2</v>
      </c>
    </row>
    <row r="28" spans="1:8" x14ac:dyDescent="0.2">
      <c r="A28" t="s">
        <v>63</v>
      </c>
      <c r="B28" t="s">
        <v>80</v>
      </c>
      <c r="C28" t="str">
        <f t="shared" si="0"/>
        <v>CY3I</v>
      </c>
      <c r="D28" s="1" t="str">
        <f t="shared" si="1"/>
        <v>I</v>
      </c>
      <c r="E28" s="1" t="str">
        <f t="shared" si="2"/>
        <v>Y</v>
      </c>
      <c r="F28" s="1">
        <v>2.7599999999999999E-3</v>
      </c>
      <c r="G28" s="1">
        <v>2.962E-2</v>
      </c>
      <c r="H28" s="1">
        <v>1.07E-3</v>
      </c>
    </row>
    <row r="29" spans="1:8" x14ac:dyDescent="0.2">
      <c r="A29" t="s">
        <v>63</v>
      </c>
      <c r="B29" t="s">
        <v>36</v>
      </c>
      <c r="C29" t="str">
        <f t="shared" si="0"/>
        <v>CD5I</v>
      </c>
      <c r="D29" s="1" t="str">
        <f t="shared" si="1"/>
        <v>I</v>
      </c>
      <c r="E29" s="1" t="str">
        <f t="shared" si="2"/>
        <v>D</v>
      </c>
      <c r="F29" s="1">
        <v>1.3500000000000001E-3</v>
      </c>
      <c r="G29" s="1">
        <v>1.409E-2</v>
      </c>
      <c r="H29" s="1">
        <v>8.0000000000000007E-5</v>
      </c>
    </row>
    <row r="30" spans="1:8" x14ac:dyDescent="0.2">
      <c r="A30" t="s">
        <v>63</v>
      </c>
      <c r="B30" t="s">
        <v>43</v>
      </c>
      <c r="C30" t="str">
        <f t="shared" si="0"/>
        <v>CD6I</v>
      </c>
      <c r="D30" s="1" t="str">
        <f t="shared" si="1"/>
        <v>I</v>
      </c>
      <c r="E30" s="1" t="str">
        <f t="shared" si="2"/>
        <v>D</v>
      </c>
      <c r="F30" s="1">
        <v>5.9899999999999997E-3</v>
      </c>
      <c r="G30" s="1">
        <v>1.532E-2</v>
      </c>
      <c r="H30" s="1">
        <v>1.192E-2</v>
      </c>
    </row>
    <row r="31" spans="1:8" x14ac:dyDescent="0.2">
      <c r="A31" t="s">
        <v>63</v>
      </c>
      <c r="B31" t="s">
        <v>71</v>
      </c>
      <c r="C31" t="str">
        <f t="shared" si="0"/>
        <v>CY4I</v>
      </c>
      <c r="D31" s="1" t="str">
        <f t="shared" si="1"/>
        <v>I</v>
      </c>
      <c r="E31" s="1" t="str">
        <f t="shared" si="2"/>
        <v>Y</v>
      </c>
      <c r="F31" s="1">
        <v>1.221E-2</v>
      </c>
      <c r="G31" s="1">
        <v>3.2439999999999997E-2</v>
      </c>
      <c r="H31" s="1">
        <v>5.8900000000000003E-3</v>
      </c>
    </row>
    <row r="32" spans="1:8" x14ac:dyDescent="0.2">
      <c r="A32" t="s">
        <v>63</v>
      </c>
      <c r="B32" t="s">
        <v>79</v>
      </c>
      <c r="C32" t="str">
        <f t="shared" si="0"/>
        <v>CD2C</v>
      </c>
      <c r="D32" s="1" t="str">
        <f t="shared" si="1"/>
        <v>C</v>
      </c>
      <c r="E32" s="1" t="str">
        <f t="shared" si="2"/>
        <v>D</v>
      </c>
      <c r="F32" s="1">
        <v>2.6700000000000001E-3</v>
      </c>
      <c r="G32" s="1">
        <v>1.277E-2</v>
      </c>
      <c r="H32" s="1">
        <v>1.9220000000000001E-2</v>
      </c>
    </row>
    <row r="33" spans="1:8" x14ac:dyDescent="0.2">
      <c r="A33" t="s">
        <v>63</v>
      </c>
      <c r="B33" t="s">
        <v>77</v>
      </c>
      <c r="C33" t="str">
        <f t="shared" si="0"/>
        <v>CD3I</v>
      </c>
      <c r="D33" s="1" t="str">
        <f t="shared" si="1"/>
        <v>I</v>
      </c>
      <c r="E33" s="1" t="str">
        <f t="shared" si="2"/>
        <v>D</v>
      </c>
      <c r="F33" s="1">
        <v>6.1399999999999996E-3</v>
      </c>
      <c r="G33" s="1">
        <v>5.2199999999999998E-3</v>
      </c>
      <c r="H33" s="1">
        <v>3.3849999999999998E-2</v>
      </c>
    </row>
    <row r="34" spans="1:8" x14ac:dyDescent="0.2">
      <c r="A34" t="s">
        <v>63</v>
      </c>
      <c r="B34" t="s">
        <v>56</v>
      </c>
      <c r="C34" t="str">
        <f t="shared" si="0"/>
        <v>CY5I</v>
      </c>
      <c r="D34" s="1" t="str">
        <f t="shared" si="1"/>
        <v>I</v>
      </c>
      <c r="E34" s="1" t="str">
        <f t="shared" si="2"/>
        <v>Y</v>
      </c>
      <c r="F34" s="1">
        <v>1.008E-2</v>
      </c>
      <c r="G34" s="1">
        <v>1.7319999999999999E-2</v>
      </c>
      <c r="H34" s="1">
        <v>2.6780000000000002E-2</v>
      </c>
    </row>
    <row r="35" spans="1:8" x14ac:dyDescent="0.2">
      <c r="A35" t="s">
        <v>63</v>
      </c>
      <c r="B35" t="s">
        <v>82</v>
      </c>
      <c r="C35" t="str">
        <f t="shared" si="0"/>
        <v>CD1C</v>
      </c>
      <c r="D35" s="1" t="str">
        <f t="shared" si="1"/>
        <v>C</v>
      </c>
      <c r="E35" s="1" t="str">
        <f t="shared" si="2"/>
        <v>D</v>
      </c>
      <c r="F35" s="1">
        <v>3.49E-3</v>
      </c>
      <c r="G35" s="1">
        <v>8.4100000000000008E-3</v>
      </c>
      <c r="H35" s="1">
        <v>7.1900000000000002E-3</v>
      </c>
    </row>
    <row r="36" spans="1:8" s="11" customFormat="1" x14ac:dyDescent="0.2">
      <c r="A36" s="11" t="s">
        <v>63</v>
      </c>
      <c r="B36" s="11" t="s">
        <v>83</v>
      </c>
      <c r="C36" s="11" t="str">
        <f t="shared" si="0"/>
        <v>CY2C</v>
      </c>
      <c r="D36" s="12" t="str">
        <f t="shared" si="1"/>
        <v>C</v>
      </c>
      <c r="E36" s="12" t="str">
        <f t="shared" si="2"/>
        <v>Y</v>
      </c>
      <c r="F36" s="12">
        <v>7.2199999999999999E-3</v>
      </c>
      <c r="G36" s="12">
        <v>1.8849999999999999E-2</v>
      </c>
      <c r="H36" s="12">
        <v>2.334E-2</v>
      </c>
    </row>
    <row r="37" spans="1:8" x14ac:dyDescent="0.2">
      <c r="A37" t="s">
        <v>66</v>
      </c>
      <c r="B37" s="14" t="s">
        <v>37</v>
      </c>
      <c r="C37" s="14" t="str">
        <f t="shared" si="0"/>
        <v>DY6I</v>
      </c>
      <c r="D37" s="1" t="str">
        <f t="shared" si="1"/>
        <v>I</v>
      </c>
      <c r="E37" s="1" t="str">
        <f t="shared" si="2"/>
        <v>Y</v>
      </c>
      <c r="F37" s="1">
        <v>1.372E-2</v>
      </c>
      <c r="G37" s="1">
        <v>1.231E-2</v>
      </c>
      <c r="H37" s="1">
        <v>3.083E-2</v>
      </c>
    </row>
    <row r="38" spans="1:8" x14ac:dyDescent="0.2">
      <c r="A38" t="s">
        <v>66</v>
      </c>
      <c r="B38" s="14" t="s">
        <v>77</v>
      </c>
      <c r="C38" s="14" t="str">
        <f t="shared" ref="C38" si="3">A38&amp;B38</f>
        <v>DD3I</v>
      </c>
      <c r="D38" s="1" t="str">
        <f t="shared" ref="D38" si="4">RIGHT(C38,1)</f>
        <v>I</v>
      </c>
      <c r="E38" s="1" t="str">
        <f t="shared" si="2"/>
        <v>D</v>
      </c>
      <c r="F38" s="1">
        <v>3.4199999999999999E-3</v>
      </c>
      <c r="G38" s="1">
        <v>1.8339999999999999E-2</v>
      </c>
      <c r="H38" s="1">
        <v>1.1100000000000001E-3</v>
      </c>
    </row>
    <row r="39" spans="1:8" x14ac:dyDescent="0.2">
      <c r="A39" t="s">
        <v>66</v>
      </c>
      <c r="B39" s="14" t="s">
        <v>84</v>
      </c>
      <c r="C39" s="14" t="str">
        <f t="shared" ref="C39:C49" si="5">A39&amp;B39</f>
        <v>DY1C</v>
      </c>
      <c r="D39" s="1" t="str">
        <f t="shared" ref="D39:D49" si="6">RIGHT(C39,1)</f>
        <v>C</v>
      </c>
      <c r="E39" s="1" t="str">
        <f t="shared" ref="E39:E49" si="7">LEFT(B39,1)</f>
        <v>Y</v>
      </c>
      <c r="F39" s="1">
        <v>7.9600000000000001E-3</v>
      </c>
      <c r="G39" s="1">
        <v>1.226E-2</v>
      </c>
      <c r="H39" s="1">
        <v>3.1230000000000001E-2</v>
      </c>
    </row>
    <row r="40" spans="1:8" x14ac:dyDescent="0.2">
      <c r="A40" t="s">
        <v>66</v>
      </c>
      <c r="B40" s="14" t="s">
        <v>80</v>
      </c>
      <c r="C40" s="14" t="str">
        <f t="shared" si="5"/>
        <v>DY3I</v>
      </c>
      <c r="D40" s="1" t="str">
        <f t="shared" si="6"/>
        <v>I</v>
      </c>
      <c r="E40" s="1" t="str">
        <f t="shared" si="7"/>
        <v>Y</v>
      </c>
      <c r="F40" s="1">
        <v>7.3200000000000001E-3</v>
      </c>
      <c r="G40" s="1">
        <v>1.379E-2</v>
      </c>
      <c r="H40" s="1">
        <v>3.431E-2</v>
      </c>
    </row>
    <row r="41" spans="1:8" x14ac:dyDescent="0.2">
      <c r="A41" t="s">
        <v>66</v>
      </c>
      <c r="B41" s="14" t="s">
        <v>79</v>
      </c>
      <c r="C41" s="14" t="str">
        <f t="shared" si="5"/>
        <v>DD2C</v>
      </c>
      <c r="D41" s="1" t="str">
        <f t="shared" si="6"/>
        <v>C</v>
      </c>
      <c r="E41" s="1" t="str">
        <f t="shared" si="7"/>
        <v>D</v>
      </c>
      <c r="F41" s="1">
        <v>6.2100000000000002E-3</v>
      </c>
      <c r="G41" s="1">
        <v>1.9019999999999999E-2</v>
      </c>
      <c r="H41" s="1">
        <v>2.8639999999999999E-2</v>
      </c>
    </row>
    <row r="42" spans="1:8" x14ac:dyDescent="0.2">
      <c r="A42" t="s">
        <v>66</v>
      </c>
      <c r="B42" s="14" t="s">
        <v>55</v>
      </c>
      <c r="C42" s="14" t="str">
        <f t="shared" si="5"/>
        <v>DD4I</v>
      </c>
      <c r="D42" s="1" t="str">
        <f t="shared" si="6"/>
        <v>I</v>
      </c>
      <c r="E42" s="1" t="str">
        <f t="shared" si="7"/>
        <v>D</v>
      </c>
      <c r="F42" s="1">
        <v>3.1099999999999999E-3</v>
      </c>
      <c r="G42" s="1">
        <v>1.4630000000000001E-2</v>
      </c>
      <c r="H42" s="1">
        <v>8.6300000000000005E-3</v>
      </c>
    </row>
    <row r="43" spans="1:8" x14ac:dyDescent="0.2">
      <c r="A43" t="s">
        <v>66</v>
      </c>
      <c r="B43" s="14" t="s">
        <v>83</v>
      </c>
      <c r="C43" s="14" t="str">
        <f t="shared" si="5"/>
        <v>DY2C</v>
      </c>
      <c r="D43" s="1" t="str">
        <f t="shared" si="6"/>
        <v>C</v>
      </c>
      <c r="E43" s="1" t="str">
        <f t="shared" si="7"/>
        <v>Y</v>
      </c>
      <c r="F43" s="1">
        <v>7.8700000000000003E-3</v>
      </c>
      <c r="G43" s="1">
        <v>1.6830000000000001E-2</v>
      </c>
      <c r="H43" s="1">
        <v>2.5780000000000001E-2</v>
      </c>
    </row>
    <row r="44" spans="1:8" x14ac:dyDescent="0.2">
      <c r="A44" t="s">
        <v>66</v>
      </c>
      <c r="B44" s="14" t="s">
        <v>56</v>
      </c>
      <c r="C44" s="14" t="str">
        <f t="shared" si="5"/>
        <v>DY5I</v>
      </c>
      <c r="D44" s="1" t="str">
        <f t="shared" si="6"/>
        <v>I</v>
      </c>
      <c r="E44" s="1" t="str">
        <f t="shared" si="7"/>
        <v>Y</v>
      </c>
      <c r="F44" s="1">
        <v>4.6499999999999996E-3</v>
      </c>
      <c r="G44" s="1">
        <v>1.336E-2</v>
      </c>
      <c r="H44" s="1">
        <v>2.145E-2</v>
      </c>
    </row>
    <row r="45" spans="1:8" x14ac:dyDescent="0.2">
      <c r="A45" t="s">
        <v>66</v>
      </c>
      <c r="B45" s="14" t="s">
        <v>36</v>
      </c>
      <c r="C45" s="14" t="str">
        <f t="shared" si="5"/>
        <v>DD5I</v>
      </c>
      <c r="D45" s="1" t="str">
        <f t="shared" si="6"/>
        <v>I</v>
      </c>
      <c r="E45" s="1" t="str">
        <f t="shared" si="7"/>
        <v>D</v>
      </c>
      <c r="F45" s="1">
        <v>4.6699999999999997E-3</v>
      </c>
      <c r="G45" s="1">
        <v>7.6600000000000001E-3</v>
      </c>
      <c r="H45" s="1">
        <v>1.6080000000000001E-2</v>
      </c>
    </row>
    <row r="46" spans="1:8" x14ac:dyDescent="0.2">
      <c r="A46" t="s">
        <v>66</v>
      </c>
      <c r="B46" s="14" t="s">
        <v>43</v>
      </c>
      <c r="C46" s="14" t="str">
        <f t="shared" si="5"/>
        <v>DD6I</v>
      </c>
      <c r="D46" s="1" t="str">
        <f t="shared" si="6"/>
        <v>I</v>
      </c>
      <c r="E46" s="1" t="str">
        <f t="shared" si="7"/>
        <v>D</v>
      </c>
      <c r="F46" s="1">
        <v>4.8399999999999997E-3</v>
      </c>
      <c r="G46" s="1">
        <v>2.3019999999999999E-2</v>
      </c>
      <c r="H46" s="1">
        <v>1.384E-2</v>
      </c>
    </row>
    <row r="47" spans="1:8" x14ac:dyDescent="0.2">
      <c r="A47" t="s">
        <v>66</v>
      </c>
      <c r="B47" s="14" t="s">
        <v>71</v>
      </c>
      <c r="C47" s="14" t="str">
        <f t="shared" si="5"/>
        <v>DY4I</v>
      </c>
      <c r="D47" s="1" t="str">
        <f t="shared" si="6"/>
        <v>I</v>
      </c>
      <c r="E47" s="1" t="str">
        <f t="shared" si="7"/>
        <v>Y</v>
      </c>
      <c r="F47" s="1">
        <v>6.6400000000000001E-3</v>
      </c>
      <c r="G47" s="1">
        <v>1.2239999999999999E-2</v>
      </c>
      <c r="H47" s="1">
        <v>3.1449999999999999E-2</v>
      </c>
    </row>
    <row r="48" spans="1:8" s="11" customFormat="1" x14ac:dyDescent="0.2">
      <c r="A48" s="11" t="s">
        <v>66</v>
      </c>
      <c r="B48" s="15" t="s">
        <v>82</v>
      </c>
      <c r="C48" s="15" t="str">
        <f t="shared" si="5"/>
        <v>DD1C</v>
      </c>
      <c r="D48" s="12" t="str">
        <f t="shared" si="6"/>
        <v>C</v>
      </c>
      <c r="E48" s="12" t="str">
        <f t="shared" si="7"/>
        <v>D</v>
      </c>
      <c r="F48" s="12">
        <v>4.15E-3</v>
      </c>
      <c r="G48" s="12">
        <v>1.268E-2</v>
      </c>
      <c r="H48" s="12">
        <v>2.3529999999999999E-2</v>
      </c>
    </row>
    <row r="49" spans="1:8" x14ac:dyDescent="0.2">
      <c r="A49" s="14" t="s">
        <v>66</v>
      </c>
      <c r="B49" s="14" t="s">
        <v>106</v>
      </c>
      <c r="C49" s="14" t="str">
        <f t="shared" si="5"/>
        <v>DJ1</v>
      </c>
      <c r="D49" s="1" t="str">
        <f t="shared" si="6"/>
        <v>1</v>
      </c>
      <c r="E49" s="1" t="str">
        <f t="shared" si="7"/>
        <v>J</v>
      </c>
      <c r="H49" s="1">
        <v>0</v>
      </c>
    </row>
  </sheetData>
  <conditionalFormatting sqref="C1:C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13FEC-E731-1941-B8CC-124FA42DCA1F}">
  <dimension ref="A1:AL13"/>
  <sheetViews>
    <sheetView zoomScale="160" zoomScaleNormal="160" workbookViewId="0">
      <pane ySplit="1" topLeftCell="A2" activePane="bottomLeft" state="frozen"/>
      <selection pane="bottomLeft" activeCell="M4" sqref="M4"/>
    </sheetView>
    <sheetView tabSelected="1" zoomScale="200" workbookViewId="1">
      <pane xSplit="2" ySplit="1" topLeftCell="C2" activePane="bottomRight" state="frozen"/>
      <selection pane="topRight" activeCell="C1" sqref="C1"/>
      <selection pane="bottomLeft" activeCell="A2" sqref="A2"/>
      <selection pane="bottomRight" activeCell="D14" sqref="D14"/>
    </sheetView>
  </sheetViews>
  <sheetFormatPr baseColWidth="10" defaultRowHeight="16" x14ac:dyDescent="0.2"/>
  <cols>
    <col min="1" max="1" width="3.83203125" style="1" bestFit="1" customWidth="1"/>
    <col min="2" max="2" width="7.66406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9" style="1" bestFit="1" customWidth="1"/>
    <col min="9" max="9" width="8.1640625" style="1" bestFit="1" customWidth="1"/>
    <col min="10" max="10" width="7.5" style="1" bestFit="1" customWidth="1"/>
    <col min="11" max="11" width="3.83203125" style="1" bestFit="1" customWidth="1"/>
    <col min="12" max="12" width="4" style="13" bestFit="1" customWidth="1"/>
    <col min="13" max="13" width="5.1640625" style="1" bestFit="1" customWidth="1"/>
    <col min="14" max="14" width="4" style="1" bestFit="1" customWidth="1"/>
    <col min="15" max="15" width="5.1640625" style="1" bestFit="1" customWidth="1"/>
    <col min="16" max="16" width="4" style="1" bestFit="1" customWidth="1"/>
    <col min="17" max="17" width="5.1640625" style="1" bestFit="1" customWidth="1"/>
    <col min="18" max="18" width="4" style="1" bestFit="1" customWidth="1"/>
    <col min="19" max="19" width="5.1640625" style="1" bestFit="1" customWidth="1"/>
    <col min="20" max="20" width="4" style="1" bestFit="1" customWidth="1"/>
    <col min="21" max="21" width="5.1640625" style="1" bestFit="1" customWidth="1"/>
    <col min="22" max="22" width="4" style="1" bestFit="1" customWidth="1"/>
    <col min="23" max="23" width="5.1640625" style="1" bestFit="1" customWidth="1"/>
    <col min="24" max="24" width="4" style="1" bestFit="1" customWidth="1"/>
    <col min="25" max="25" width="5.1640625" style="1" bestFit="1" customWidth="1"/>
    <col min="26" max="26" width="4" style="1" bestFit="1" customWidth="1"/>
    <col min="27" max="27" width="5.1640625" style="1" bestFit="1" customWidth="1"/>
    <col min="28" max="28" width="4" style="1" bestFit="1" customWidth="1"/>
    <col min="29" max="29" width="5.1640625" style="1" bestFit="1" customWidth="1"/>
    <col min="30" max="30" width="5" style="1" bestFit="1" customWidth="1"/>
    <col min="31" max="31" width="6.1640625" style="1" bestFit="1" customWidth="1"/>
    <col min="32" max="32" width="5" style="1" bestFit="1" customWidth="1"/>
    <col min="33" max="33" width="6.1640625" style="1" bestFit="1" customWidth="1"/>
    <col min="34" max="34" width="5" style="1" bestFit="1" customWidth="1"/>
    <col min="35" max="35" width="6.1640625" style="1" bestFit="1" customWidth="1"/>
    <col min="36" max="36" width="5" style="1" bestFit="1" customWidth="1"/>
    <col min="37" max="37" width="6.1640625" style="1" bestFit="1" customWidth="1"/>
    <col min="38" max="38" width="5.83203125" style="1" bestFit="1" customWidth="1"/>
    <col min="39" max="16384" width="10.83203125" style="1"/>
  </cols>
  <sheetData>
    <row r="1" spans="1:38" s="7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89</v>
      </c>
      <c r="J1" s="7" t="s">
        <v>90</v>
      </c>
      <c r="K1" s="7" t="s">
        <v>91</v>
      </c>
      <c r="L1" s="9" t="s">
        <v>9</v>
      </c>
      <c r="M1" s="7" t="s">
        <v>23</v>
      </c>
      <c r="N1" s="7" t="str">
        <f>"s_"&amp;RIGHT(L1,1)+1</f>
        <v>s_2</v>
      </c>
      <c r="O1" s="7" t="str">
        <f>"inf_"&amp;RIGHT(M1,1)+1</f>
        <v>inf_2</v>
      </c>
      <c r="P1" s="7" t="str">
        <f t="shared" ref="P1" si="0">"s_"&amp;RIGHT(N1,1)+1</f>
        <v>s_3</v>
      </c>
      <c r="Q1" s="7" t="str">
        <f t="shared" ref="Q1" si="1">"inf_"&amp;RIGHT(O1,1)+1</f>
        <v>inf_3</v>
      </c>
      <c r="R1" s="7" t="str">
        <f t="shared" ref="R1" si="2">"s_"&amp;RIGHT(P1,1)+1</f>
        <v>s_4</v>
      </c>
      <c r="S1" s="7" t="str">
        <f t="shared" ref="S1" si="3">"inf_"&amp;RIGHT(Q1,1)+1</f>
        <v>inf_4</v>
      </c>
      <c r="T1" s="7" t="str">
        <f t="shared" ref="T1" si="4">"s_"&amp;RIGHT(R1,1)+1</f>
        <v>s_5</v>
      </c>
      <c r="U1" s="7" t="str">
        <f t="shared" ref="U1" si="5">"inf_"&amp;RIGHT(S1,1)+1</f>
        <v>inf_5</v>
      </c>
      <c r="V1" s="7" t="str">
        <f t="shared" ref="V1" si="6">"s_"&amp;RIGHT(T1,1)+1</f>
        <v>s_6</v>
      </c>
      <c r="W1" s="7" t="str">
        <f t="shared" ref="W1" si="7">"inf_"&amp;RIGHT(U1,1)+1</f>
        <v>inf_6</v>
      </c>
      <c r="X1" s="7" t="str">
        <f t="shared" ref="X1" si="8">"s_"&amp;RIGHT(V1,1)+1</f>
        <v>s_7</v>
      </c>
      <c r="Y1" s="7" t="str">
        <f t="shared" ref="Y1" si="9">"inf_"&amp;RIGHT(W1,1)+1</f>
        <v>inf_7</v>
      </c>
      <c r="Z1" s="7" t="str">
        <f t="shared" ref="Z1" si="10">"s_"&amp;RIGHT(X1,1)+1</f>
        <v>s_8</v>
      </c>
      <c r="AA1" s="7" t="str">
        <f t="shared" ref="AA1" si="11">"inf_"&amp;RIGHT(Y1,1)+1</f>
        <v>inf_8</v>
      </c>
      <c r="AB1" s="7" t="str">
        <f t="shared" ref="AB1" si="12">"s_"&amp;RIGHT(Z1,1)+1</f>
        <v>s_9</v>
      </c>
      <c r="AC1" s="7" t="str">
        <f t="shared" ref="AC1" si="13">"inf_"&amp;RIGHT(AA1,1)+1</f>
        <v>inf_9</v>
      </c>
      <c r="AD1" s="7" t="str">
        <f t="shared" ref="AD1" si="14">"s_"&amp;RIGHT(AB1,1)+1</f>
        <v>s_10</v>
      </c>
      <c r="AE1" s="7" t="str">
        <f t="shared" ref="AE1" si="15">"inf_"&amp;RIGHT(AC1,1)+1</f>
        <v>inf_10</v>
      </c>
      <c r="AF1" s="7" t="s">
        <v>41</v>
      </c>
      <c r="AG1" s="7" t="s">
        <v>42</v>
      </c>
      <c r="AH1" s="7" t="s">
        <v>45</v>
      </c>
      <c r="AI1" s="7" t="s">
        <v>47</v>
      </c>
      <c r="AJ1" s="7" t="s">
        <v>46</v>
      </c>
      <c r="AK1" s="7" t="s">
        <v>48</v>
      </c>
      <c r="AL1" s="7" t="s">
        <v>32</v>
      </c>
    </row>
    <row r="2" spans="1:38" x14ac:dyDescent="0.2">
      <c r="A2" s="1" t="s">
        <v>85</v>
      </c>
      <c r="B2" s="1" t="s">
        <v>86</v>
      </c>
      <c r="C2" s="1">
        <v>1.1979999999999999E-2</v>
      </c>
      <c r="D2" s="1">
        <v>1.0880000000000001E-2</v>
      </c>
      <c r="E2" s="1">
        <v>60.1</v>
      </c>
      <c r="F2" s="1">
        <v>3.903</v>
      </c>
      <c r="G2" s="1">
        <v>7.1</v>
      </c>
      <c r="H2" s="1">
        <v>29.3</v>
      </c>
      <c r="K2" s="1">
        <v>0</v>
      </c>
      <c r="L2" s="13">
        <v>40.1</v>
      </c>
      <c r="N2" s="1">
        <v>33.1</v>
      </c>
      <c r="P2" s="1">
        <v>14.4</v>
      </c>
      <c r="R2" s="1">
        <v>37.1</v>
      </c>
    </row>
    <row r="3" spans="1:38" x14ac:dyDescent="0.2">
      <c r="A3" s="1" t="s">
        <v>85</v>
      </c>
      <c r="B3" s="1" t="s">
        <v>88</v>
      </c>
      <c r="C3" s="1">
        <v>7.5100000000000002E-3</v>
      </c>
      <c r="D3" s="1">
        <v>1.2919999999999999E-2</v>
      </c>
      <c r="E3" s="1">
        <v>48.2</v>
      </c>
      <c r="F3" s="1">
        <v>3.61</v>
      </c>
      <c r="G3" s="1">
        <v>5.8</v>
      </c>
      <c r="H3" s="1">
        <v>26.1</v>
      </c>
      <c r="I3" s="1">
        <v>0</v>
      </c>
      <c r="J3" s="1">
        <v>0</v>
      </c>
      <c r="K3" s="1">
        <v>12</v>
      </c>
      <c r="L3" s="13">
        <v>48.2</v>
      </c>
      <c r="M3" s="1">
        <v>10</v>
      </c>
      <c r="N3" s="1">
        <v>46.3</v>
      </c>
      <c r="O3" s="1">
        <v>21</v>
      </c>
    </row>
    <row r="4" spans="1:38" x14ac:dyDescent="0.2">
      <c r="A4" s="1" t="s">
        <v>85</v>
      </c>
      <c r="B4" s="1" t="s">
        <v>92</v>
      </c>
      <c r="C4" s="1">
        <v>7.6600000000000001E-3</v>
      </c>
      <c r="D4" s="1">
        <v>8.4700000000000001E-3</v>
      </c>
      <c r="E4" s="1">
        <v>41.9</v>
      </c>
      <c r="F4" s="1">
        <v>3.3250000000000002</v>
      </c>
      <c r="G4" s="1">
        <v>5.0999999999999996</v>
      </c>
      <c r="H4" s="1">
        <v>22</v>
      </c>
      <c r="L4" s="13">
        <v>47.9</v>
      </c>
      <c r="N4" s="1">
        <v>20.2</v>
      </c>
    </row>
    <row r="5" spans="1:38" x14ac:dyDescent="0.2">
      <c r="A5" s="1" t="s">
        <v>85</v>
      </c>
      <c r="B5" s="1" t="s">
        <v>106</v>
      </c>
      <c r="C5" s="1">
        <v>1.306E-2</v>
      </c>
      <c r="E5" s="1">
        <v>34.1</v>
      </c>
      <c r="F5" s="1">
        <v>3.835</v>
      </c>
      <c r="G5" s="1">
        <v>4.4000000000000004</v>
      </c>
      <c r="H5" s="1">
        <v>11.3</v>
      </c>
      <c r="K5" s="1">
        <v>23</v>
      </c>
    </row>
    <row r="6" spans="1:38" x14ac:dyDescent="0.2">
      <c r="A6" s="1" t="s">
        <v>85</v>
      </c>
      <c r="B6" s="1" t="s">
        <v>102</v>
      </c>
      <c r="C6" s="1">
        <v>1.193E-2</v>
      </c>
      <c r="E6" s="1">
        <v>53.1</v>
      </c>
      <c r="F6" s="1">
        <v>4.0110000000000001</v>
      </c>
      <c r="G6" s="1">
        <v>5.5</v>
      </c>
      <c r="H6" s="1">
        <v>29.2</v>
      </c>
      <c r="K6" s="1">
        <v>21</v>
      </c>
    </row>
    <row r="7" spans="1:38" x14ac:dyDescent="0.2">
      <c r="A7" s="1" t="s">
        <v>85</v>
      </c>
      <c r="B7" s="1" t="s">
        <v>107</v>
      </c>
      <c r="C7" s="1">
        <v>1.498E-2</v>
      </c>
      <c r="E7" s="1">
        <v>60.1</v>
      </c>
      <c r="F7" s="1">
        <v>4.3120000000000003</v>
      </c>
      <c r="G7" s="1">
        <v>7.6</v>
      </c>
      <c r="H7" s="1">
        <v>31.3</v>
      </c>
      <c r="K7" s="1">
        <v>0</v>
      </c>
    </row>
    <row r="8" spans="1:38" x14ac:dyDescent="0.2">
      <c r="A8" s="1" t="s">
        <v>85</v>
      </c>
      <c r="B8" s="1" t="s">
        <v>108</v>
      </c>
      <c r="C8" s="1">
        <v>1.9720000000000001E-2</v>
      </c>
      <c r="D8" s="1">
        <v>1.3600000000000001E-3</v>
      </c>
      <c r="E8" s="1">
        <v>59.9</v>
      </c>
      <c r="F8" s="1">
        <v>4.5430000000000001</v>
      </c>
      <c r="G8" s="1">
        <v>5.5</v>
      </c>
      <c r="H8" s="1">
        <v>32</v>
      </c>
      <c r="L8" s="13">
        <v>20.399999999999999</v>
      </c>
      <c r="N8" s="1">
        <v>11.4</v>
      </c>
    </row>
    <row r="9" spans="1:38" x14ac:dyDescent="0.2">
      <c r="A9" s="1" t="s">
        <v>85</v>
      </c>
      <c r="B9" s="1" t="s">
        <v>109</v>
      </c>
      <c r="C9" s="1">
        <v>1.538E-2</v>
      </c>
      <c r="D9" s="1">
        <v>8.0999999999999996E-3</v>
      </c>
      <c r="E9" s="1">
        <v>46</v>
      </c>
      <c r="F9" s="1">
        <v>3.45</v>
      </c>
      <c r="G9" s="1">
        <v>6.6</v>
      </c>
      <c r="H9" s="1">
        <v>20.9</v>
      </c>
      <c r="K9" s="1">
        <v>23</v>
      </c>
      <c r="L9" s="13">
        <v>11.1</v>
      </c>
      <c r="M9" s="1">
        <v>4</v>
      </c>
      <c r="N9" s="1">
        <v>39.6</v>
      </c>
      <c r="O9" s="1">
        <v>26</v>
      </c>
    </row>
    <row r="10" spans="1:38" x14ac:dyDescent="0.2">
      <c r="A10" s="1" t="s">
        <v>85</v>
      </c>
      <c r="B10" s="1" t="s">
        <v>110</v>
      </c>
      <c r="C10" s="1">
        <f>0.02147-0.007</f>
        <v>1.447E-2</v>
      </c>
      <c r="E10" s="1">
        <v>47</v>
      </c>
      <c r="F10" s="1">
        <v>4.3209999999999997</v>
      </c>
      <c r="G10" s="1">
        <v>7.6</v>
      </c>
      <c r="H10" s="1">
        <v>26</v>
      </c>
    </row>
    <row r="11" spans="1:38" x14ac:dyDescent="0.2">
      <c r="A11" s="1" t="s">
        <v>85</v>
      </c>
      <c r="B11" s="1" t="s">
        <v>111</v>
      </c>
      <c r="C11" s="1">
        <f>0.03236-0.007</f>
        <v>2.5360000000000001E-2</v>
      </c>
      <c r="E11" s="1">
        <v>43.2</v>
      </c>
      <c r="F11" s="1">
        <v>4.359</v>
      </c>
      <c r="G11" s="1">
        <v>7.9</v>
      </c>
      <c r="H11" s="1">
        <v>19.7</v>
      </c>
      <c r="L11" s="13">
        <v>39.700000000000003</v>
      </c>
      <c r="N11" s="1">
        <v>31.4</v>
      </c>
      <c r="P11" s="1">
        <v>26.5</v>
      </c>
    </row>
    <row r="12" spans="1:38" x14ac:dyDescent="0.2">
      <c r="A12" s="1" t="s">
        <v>85</v>
      </c>
      <c r="B12" s="1" t="s">
        <v>113</v>
      </c>
      <c r="C12" s="1">
        <f>0.01374-0.007</f>
        <v>6.7400000000000003E-3</v>
      </c>
      <c r="D12" s="1">
        <f>0.01415-0.007</f>
        <v>7.1499999999999992E-3</v>
      </c>
      <c r="E12" s="1">
        <v>37.1</v>
      </c>
      <c r="F12" s="1">
        <v>3.3769999999999998</v>
      </c>
      <c r="G12" s="1">
        <v>6.5</v>
      </c>
      <c r="H12" s="1">
        <v>19</v>
      </c>
      <c r="K12" s="1">
        <v>10</v>
      </c>
      <c r="L12" s="13">
        <v>26.5</v>
      </c>
      <c r="M12" s="1">
        <v>15</v>
      </c>
    </row>
    <row r="13" spans="1:38" x14ac:dyDescent="0.2">
      <c r="A13" s="1" t="s">
        <v>85</v>
      </c>
      <c r="B13" s="1" t="s">
        <v>114</v>
      </c>
      <c r="D13" s="1">
        <f>0.01492-0.007</f>
        <v>7.92E-3</v>
      </c>
      <c r="E13" s="1">
        <v>11.5</v>
      </c>
      <c r="F13" s="1">
        <v>3.34</v>
      </c>
      <c r="G13" s="1">
        <v>4.8</v>
      </c>
      <c r="H13" s="1">
        <v>10.5</v>
      </c>
      <c r="L13" s="13">
        <v>10.3</v>
      </c>
      <c r="N13" s="1">
        <v>3.7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1810-EDBB-BA4A-8D25-5923165EB8A3}">
  <dimension ref="A1:J45"/>
  <sheetViews>
    <sheetView tabSelected="1" topLeftCell="B24" zoomScale="171" workbookViewId="0">
      <selection activeCell="G46" sqref="G46"/>
    </sheetView>
    <sheetView workbookViewId="1"/>
  </sheetViews>
  <sheetFormatPr baseColWidth="10" defaultRowHeight="16" x14ac:dyDescent="0.2"/>
  <cols>
    <col min="1" max="1" width="4.33203125" style="1" bestFit="1" customWidth="1"/>
    <col min="2" max="2" width="7.1640625" style="1" bestFit="1" customWidth="1"/>
    <col min="3" max="3" width="4.33203125" style="1" bestFit="1" customWidth="1"/>
    <col min="4" max="4" width="5.6640625" style="1" bestFit="1" customWidth="1"/>
    <col min="5" max="5" width="6.1640625" style="1" bestFit="1" customWidth="1"/>
    <col min="6" max="16384" width="10.83203125" style="1"/>
  </cols>
  <sheetData>
    <row r="1" spans="1:10" x14ac:dyDescent="0.2">
      <c r="A1" s="1" t="s">
        <v>98</v>
      </c>
      <c r="B1" s="1" t="s">
        <v>93</v>
      </c>
      <c r="C1" s="1" t="s">
        <v>101</v>
      </c>
      <c r="D1" s="1" t="s">
        <v>94</v>
      </c>
      <c r="E1" s="1" t="s">
        <v>104</v>
      </c>
      <c r="F1" s="1" t="s">
        <v>95</v>
      </c>
      <c r="G1" s="1" t="s">
        <v>96</v>
      </c>
      <c r="H1" s="1" t="s">
        <v>97</v>
      </c>
      <c r="I1" s="1" t="s">
        <v>99</v>
      </c>
      <c r="J1" s="1" t="s">
        <v>100</v>
      </c>
    </row>
    <row r="2" spans="1:10" x14ac:dyDescent="0.2">
      <c r="A2" s="1" t="s">
        <v>85</v>
      </c>
      <c r="B2" s="1" t="s">
        <v>92</v>
      </c>
      <c r="C2" s="1" t="s">
        <v>9</v>
      </c>
      <c r="D2" s="1">
        <v>1</v>
      </c>
      <c r="F2" s="1">
        <v>0.5</v>
      </c>
      <c r="G2" s="1">
        <v>3.032</v>
      </c>
      <c r="H2" s="1">
        <v>0</v>
      </c>
      <c r="I2" s="1">
        <v>0</v>
      </c>
      <c r="J2" s="1">
        <v>1</v>
      </c>
    </row>
    <row r="3" spans="1:10" x14ac:dyDescent="0.2">
      <c r="A3" s="1" t="s">
        <v>85</v>
      </c>
      <c r="B3" s="1" t="s">
        <v>92</v>
      </c>
      <c r="C3" s="1" t="s">
        <v>9</v>
      </c>
      <c r="D3" s="1">
        <v>2</v>
      </c>
      <c r="F3" s="1">
        <v>1.5</v>
      </c>
      <c r="G3" s="1">
        <v>5.0789999999999997</v>
      </c>
      <c r="H3" s="1">
        <v>0</v>
      </c>
      <c r="I3" s="1">
        <v>0</v>
      </c>
      <c r="J3" s="1">
        <v>0</v>
      </c>
    </row>
    <row r="4" spans="1:10" x14ac:dyDescent="0.2">
      <c r="A4" s="1" t="s">
        <v>85</v>
      </c>
      <c r="B4" s="1" t="s">
        <v>92</v>
      </c>
      <c r="C4" s="1" t="s">
        <v>9</v>
      </c>
      <c r="D4" s="1">
        <v>3</v>
      </c>
      <c r="F4" s="1">
        <v>0.3</v>
      </c>
      <c r="G4" s="1">
        <v>2.3149999999999999</v>
      </c>
      <c r="H4" s="1">
        <v>0</v>
      </c>
      <c r="I4" s="1">
        <v>0</v>
      </c>
      <c r="J4" s="1">
        <v>0</v>
      </c>
    </row>
    <row r="5" spans="1:10" x14ac:dyDescent="0.2">
      <c r="A5" s="1" t="s">
        <v>85</v>
      </c>
      <c r="B5" s="1" t="s">
        <v>92</v>
      </c>
      <c r="C5" s="1" t="s">
        <v>9</v>
      </c>
      <c r="D5" s="1">
        <v>4</v>
      </c>
      <c r="F5" s="1">
        <v>0.5</v>
      </c>
      <c r="G5" s="1">
        <v>4.8689999999999998</v>
      </c>
      <c r="H5" s="1">
        <v>0</v>
      </c>
    </row>
    <row r="6" spans="1:10" x14ac:dyDescent="0.2">
      <c r="A6" s="1" t="s">
        <v>85</v>
      </c>
      <c r="B6" s="1" t="s">
        <v>92</v>
      </c>
      <c r="C6" s="1" t="s">
        <v>9</v>
      </c>
      <c r="D6" s="1">
        <v>4</v>
      </c>
      <c r="F6" s="1">
        <v>0.5</v>
      </c>
      <c r="G6" s="1">
        <v>5.2409999999999997</v>
      </c>
      <c r="H6" s="1">
        <v>0</v>
      </c>
    </row>
    <row r="7" spans="1:10" x14ac:dyDescent="0.2">
      <c r="A7" s="1" t="s">
        <v>85</v>
      </c>
      <c r="B7" s="1" t="s">
        <v>92</v>
      </c>
      <c r="C7" s="1" t="s">
        <v>103</v>
      </c>
      <c r="D7" s="1">
        <v>1</v>
      </c>
      <c r="E7" s="1">
        <f>22-4.6</f>
        <v>17.399999999999999</v>
      </c>
      <c r="F7" s="1">
        <v>0.5</v>
      </c>
      <c r="G7" s="1">
        <v>7.1609999999999996</v>
      </c>
      <c r="H7" s="1">
        <v>0</v>
      </c>
    </row>
    <row r="8" spans="1:10" x14ac:dyDescent="0.2">
      <c r="A8" s="1" t="s">
        <v>85</v>
      </c>
      <c r="B8" s="1" t="s">
        <v>92</v>
      </c>
      <c r="C8" s="1" t="s">
        <v>103</v>
      </c>
      <c r="D8" s="1">
        <v>2</v>
      </c>
      <c r="E8" s="1">
        <f>22-3.1</f>
        <v>18.899999999999999</v>
      </c>
      <c r="F8" s="1">
        <v>1.2</v>
      </c>
      <c r="G8" s="1">
        <v>8.7430000000000003</v>
      </c>
      <c r="H8" s="1">
        <v>1</v>
      </c>
    </row>
    <row r="9" spans="1:10" x14ac:dyDescent="0.2">
      <c r="A9" s="1" t="s">
        <v>85</v>
      </c>
      <c r="B9" s="1" t="s">
        <v>92</v>
      </c>
      <c r="C9" s="1" t="s">
        <v>105</v>
      </c>
      <c r="D9" s="1">
        <v>3</v>
      </c>
      <c r="E9" s="1">
        <v>18.899999999999999</v>
      </c>
      <c r="F9" s="1">
        <v>0.7</v>
      </c>
      <c r="G9" s="1">
        <v>6.1429999999999998</v>
      </c>
      <c r="H9" s="1">
        <v>1</v>
      </c>
    </row>
    <row r="10" spans="1:10" x14ac:dyDescent="0.2">
      <c r="A10" s="1" t="s">
        <v>85</v>
      </c>
      <c r="B10" s="1" t="s">
        <v>111</v>
      </c>
      <c r="C10" s="1" t="s">
        <v>105</v>
      </c>
      <c r="D10" s="1">
        <v>1</v>
      </c>
      <c r="E10" s="1">
        <v>9.3000000000000007</v>
      </c>
      <c r="F10" s="1">
        <v>0.6</v>
      </c>
      <c r="G10" s="1">
        <v>3.0019999999999998</v>
      </c>
    </row>
    <row r="11" spans="1:10" x14ac:dyDescent="0.2">
      <c r="A11" s="1" t="s">
        <v>85</v>
      </c>
      <c r="B11" s="1" t="s">
        <v>111</v>
      </c>
      <c r="C11" s="1" t="s">
        <v>105</v>
      </c>
      <c r="D11" s="1">
        <v>1</v>
      </c>
      <c r="F11" s="1">
        <v>0.3</v>
      </c>
      <c r="G11" s="1">
        <v>2.6619999999999999</v>
      </c>
    </row>
    <row r="12" spans="1:10" x14ac:dyDescent="0.2">
      <c r="A12" s="1" t="s">
        <v>85</v>
      </c>
      <c r="B12" s="1" t="s">
        <v>111</v>
      </c>
      <c r="C12" s="1" t="s">
        <v>105</v>
      </c>
      <c r="D12" s="1">
        <v>1</v>
      </c>
      <c r="F12" s="1">
        <v>0.4</v>
      </c>
      <c r="G12" s="1">
        <v>2.8130000000000002</v>
      </c>
      <c r="J12" s="1">
        <v>1</v>
      </c>
    </row>
    <row r="13" spans="1:10" x14ac:dyDescent="0.2">
      <c r="A13" s="1" t="s">
        <v>85</v>
      </c>
      <c r="B13" s="1" t="s">
        <v>111</v>
      </c>
      <c r="C13" s="1" t="s">
        <v>105</v>
      </c>
      <c r="D13" s="1">
        <v>2</v>
      </c>
      <c r="E13" s="1">
        <v>19.7</v>
      </c>
      <c r="F13" s="1">
        <v>0.2</v>
      </c>
      <c r="G13" s="1">
        <v>2.7229999999999999</v>
      </c>
      <c r="J13" s="1">
        <v>1</v>
      </c>
    </row>
    <row r="14" spans="1:10" s="12" customFormat="1" x14ac:dyDescent="0.2">
      <c r="A14" s="12" t="s">
        <v>85</v>
      </c>
      <c r="B14" s="12" t="s">
        <v>111</v>
      </c>
      <c r="C14" s="12" t="s">
        <v>105</v>
      </c>
      <c r="D14" s="12">
        <v>3</v>
      </c>
      <c r="E14" s="12" t="s">
        <v>112</v>
      </c>
    </row>
    <row r="15" spans="1:10" x14ac:dyDescent="0.2">
      <c r="A15" s="1" t="s">
        <v>85</v>
      </c>
      <c r="B15" s="1" t="s">
        <v>114</v>
      </c>
      <c r="C15" s="1" t="s">
        <v>9</v>
      </c>
      <c r="D15" s="1">
        <v>1</v>
      </c>
      <c r="E15" s="1">
        <v>5.3</v>
      </c>
      <c r="F15" s="1">
        <v>4</v>
      </c>
      <c r="G15" s="1">
        <v>12.824999999999999</v>
      </c>
      <c r="H15" s="1">
        <v>10</v>
      </c>
    </row>
    <row r="16" spans="1:10" x14ac:dyDescent="0.2">
      <c r="B16" s="1" t="s">
        <v>114</v>
      </c>
      <c r="C16" s="1" t="s">
        <v>9</v>
      </c>
      <c r="D16" s="1">
        <v>2</v>
      </c>
      <c r="E16" s="1">
        <v>1.3</v>
      </c>
      <c r="F16" s="1">
        <v>3</v>
      </c>
      <c r="G16" s="1">
        <v>10.391</v>
      </c>
      <c r="H16" s="1">
        <v>7</v>
      </c>
    </row>
    <row r="17" spans="2:8" x14ac:dyDescent="0.2">
      <c r="B17" s="1" t="s">
        <v>114</v>
      </c>
      <c r="C17" s="1" t="s">
        <v>9</v>
      </c>
      <c r="D17" s="1">
        <v>3</v>
      </c>
      <c r="E17" s="1">
        <v>1.4</v>
      </c>
      <c r="F17" s="1">
        <v>2.9</v>
      </c>
      <c r="G17" s="1">
        <v>11.32</v>
      </c>
      <c r="H17" s="1">
        <v>6</v>
      </c>
    </row>
    <row r="18" spans="2:8" x14ac:dyDescent="0.2">
      <c r="B18" s="1" t="s">
        <v>114</v>
      </c>
      <c r="C18" s="1" t="s">
        <v>9</v>
      </c>
      <c r="D18" s="1">
        <v>4</v>
      </c>
      <c r="E18" s="1">
        <v>1.1000000000000001</v>
      </c>
      <c r="F18" s="1">
        <v>1.3</v>
      </c>
      <c r="G18" s="1">
        <v>8.6639999999999997</v>
      </c>
      <c r="H18" s="1">
        <v>4</v>
      </c>
    </row>
    <row r="19" spans="2:8" x14ac:dyDescent="0.2">
      <c r="B19" s="1" t="s">
        <v>114</v>
      </c>
      <c r="C19" s="1" t="s">
        <v>9</v>
      </c>
      <c r="D19" s="1">
        <v>5</v>
      </c>
      <c r="E19" s="1">
        <v>1.3</v>
      </c>
      <c r="F19" s="1">
        <v>2</v>
      </c>
      <c r="G19" s="1">
        <v>10.891999999999999</v>
      </c>
      <c r="H19" s="1">
        <v>5</v>
      </c>
    </row>
    <row r="20" spans="2:8" x14ac:dyDescent="0.2">
      <c r="B20" s="1" t="s">
        <v>114</v>
      </c>
      <c r="C20" s="1" t="s">
        <v>10</v>
      </c>
      <c r="D20" s="1">
        <v>1</v>
      </c>
      <c r="E20" s="1">
        <v>3.7</v>
      </c>
      <c r="F20" s="1">
        <v>2.2999999999999998</v>
      </c>
      <c r="G20" s="1">
        <v>8.1129999999999995</v>
      </c>
      <c r="H20" s="1">
        <v>3</v>
      </c>
    </row>
    <row r="21" spans="2:8" x14ac:dyDescent="0.2">
      <c r="B21" s="1" t="s">
        <v>114</v>
      </c>
      <c r="C21" s="1" t="s">
        <v>115</v>
      </c>
      <c r="D21" s="1">
        <v>1</v>
      </c>
      <c r="E21" s="1">
        <v>1.4</v>
      </c>
      <c r="F21" s="1">
        <v>2.1</v>
      </c>
      <c r="G21" s="1">
        <v>9.23</v>
      </c>
      <c r="H21" s="1">
        <v>4</v>
      </c>
    </row>
    <row r="22" spans="2:8" x14ac:dyDescent="0.2">
      <c r="C22" s="1" t="s">
        <v>116</v>
      </c>
      <c r="D22" s="1">
        <v>1</v>
      </c>
      <c r="F22" s="1">
        <v>5.2</v>
      </c>
      <c r="G22" s="1">
        <v>5.2080000000000002</v>
      </c>
      <c r="H22" s="1">
        <v>0</v>
      </c>
    </row>
    <row r="23" spans="2:8" x14ac:dyDescent="0.2">
      <c r="C23" s="1" t="s">
        <v>116</v>
      </c>
      <c r="D23" s="1">
        <v>1</v>
      </c>
      <c r="F23" s="1">
        <v>1.1000000000000001</v>
      </c>
      <c r="G23" s="1">
        <v>4.2789999999999999</v>
      </c>
      <c r="H23" s="1">
        <v>1</v>
      </c>
    </row>
    <row r="24" spans="2:8" x14ac:dyDescent="0.2">
      <c r="F24" s="1">
        <v>1.5</v>
      </c>
      <c r="G24" s="1">
        <v>9.6859999999999999</v>
      </c>
      <c r="H24" s="1">
        <v>5</v>
      </c>
    </row>
    <row r="25" spans="2:8" x14ac:dyDescent="0.2">
      <c r="F25" s="1">
        <v>2.4</v>
      </c>
      <c r="G25" s="1">
        <v>9.3059999999999992</v>
      </c>
      <c r="H25" s="1">
        <v>3</v>
      </c>
    </row>
    <row r="26" spans="2:8" x14ac:dyDescent="0.2">
      <c r="F26" s="1">
        <v>1.9</v>
      </c>
      <c r="G26" s="1">
        <v>9.8239999999999998</v>
      </c>
      <c r="H26" s="1">
        <v>6</v>
      </c>
    </row>
    <row r="27" spans="2:8" x14ac:dyDescent="0.2">
      <c r="F27" s="1">
        <v>2.2000000000000002</v>
      </c>
      <c r="G27" s="1">
        <v>9.7530000000000001</v>
      </c>
      <c r="H27" s="1">
        <v>5</v>
      </c>
    </row>
    <row r="28" spans="2:8" x14ac:dyDescent="0.2">
      <c r="F28" s="1">
        <v>2.6</v>
      </c>
      <c r="G28" s="1">
        <v>10.625999999999999</v>
      </c>
      <c r="H28" s="1">
        <v>9</v>
      </c>
    </row>
    <row r="29" spans="2:8" x14ac:dyDescent="0.2">
      <c r="F29" s="1">
        <v>2.2999999999999998</v>
      </c>
      <c r="G29" s="1">
        <v>10.797000000000001</v>
      </c>
      <c r="H29" s="1">
        <v>8</v>
      </c>
    </row>
    <row r="30" spans="2:8" x14ac:dyDescent="0.2">
      <c r="F30" s="1">
        <v>0.9</v>
      </c>
      <c r="G30" s="1">
        <v>6.048</v>
      </c>
      <c r="H30" s="1">
        <v>5</v>
      </c>
    </row>
    <row r="31" spans="2:8" x14ac:dyDescent="0.2">
      <c r="F31" s="1">
        <v>1.5</v>
      </c>
      <c r="G31" s="1">
        <v>8.3369999999999997</v>
      </c>
      <c r="H31" s="1">
        <v>2</v>
      </c>
    </row>
    <row r="32" spans="2:8" x14ac:dyDescent="0.2">
      <c r="F32" s="1">
        <v>1.1000000000000001</v>
      </c>
      <c r="G32" s="1">
        <v>5.2279999999999998</v>
      </c>
      <c r="H32" s="1">
        <v>1</v>
      </c>
    </row>
    <row r="33" spans="6:8" x14ac:dyDescent="0.2">
      <c r="F33" s="1">
        <v>1.9</v>
      </c>
      <c r="G33" s="1">
        <v>8.3870000000000005</v>
      </c>
      <c r="H33" s="1">
        <v>4</v>
      </c>
    </row>
    <row r="34" spans="6:8" x14ac:dyDescent="0.2">
      <c r="F34" s="1">
        <v>2.5</v>
      </c>
      <c r="G34" s="1">
        <v>11.244999999999999</v>
      </c>
      <c r="H34" s="1">
        <v>6</v>
      </c>
    </row>
    <row r="35" spans="6:8" x14ac:dyDescent="0.2">
      <c r="F35" s="1">
        <v>1.3</v>
      </c>
      <c r="G35" s="1">
        <v>7.2060000000000004</v>
      </c>
      <c r="H35" s="1">
        <v>0</v>
      </c>
    </row>
    <row r="36" spans="6:8" x14ac:dyDescent="0.2">
      <c r="F36" s="1">
        <v>2.1</v>
      </c>
      <c r="G36" s="1">
        <v>7.508</v>
      </c>
      <c r="H36" s="1">
        <v>5</v>
      </c>
    </row>
    <row r="37" spans="6:8" x14ac:dyDescent="0.2">
      <c r="F37" s="1">
        <v>1.6</v>
      </c>
      <c r="G37" s="1">
        <v>10.734999999999999</v>
      </c>
      <c r="H37" s="1">
        <v>8</v>
      </c>
    </row>
    <row r="38" spans="6:8" x14ac:dyDescent="0.2">
      <c r="F38" s="1">
        <v>1.6</v>
      </c>
      <c r="G38" s="1">
        <v>7.4630000000000001</v>
      </c>
      <c r="H38" s="1">
        <v>2</v>
      </c>
    </row>
    <row r="39" spans="6:8" x14ac:dyDescent="0.2">
      <c r="F39" s="1">
        <v>2.1</v>
      </c>
      <c r="G39" s="1">
        <v>12.272</v>
      </c>
      <c r="H39" s="1">
        <v>6</v>
      </c>
    </row>
    <row r="40" spans="6:8" x14ac:dyDescent="0.2">
      <c r="F40" s="1">
        <v>2.5</v>
      </c>
      <c r="G40" s="1">
        <v>7.8579999999999997</v>
      </c>
      <c r="H40" s="1">
        <v>0</v>
      </c>
    </row>
    <row r="41" spans="6:8" x14ac:dyDescent="0.2">
      <c r="F41" s="1">
        <v>1.1000000000000001</v>
      </c>
      <c r="G41" s="1">
        <v>11.242000000000001</v>
      </c>
      <c r="H41" s="1">
        <v>5</v>
      </c>
    </row>
    <row r="42" spans="6:8" x14ac:dyDescent="0.2">
      <c r="F42" s="1">
        <v>0.8</v>
      </c>
      <c r="G42" s="1">
        <v>10.765000000000001</v>
      </c>
      <c r="H42" s="1">
        <v>2</v>
      </c>
    </row>
    <row r="43" spans="6:8" x14ac:dyDescent="0.2">
      <c r="F43" s="1">
        <v>1.6</v>
      </c>
      <c r="G43" s="1">
        <v>12.746</v>
      </c>
      <c r="H43" s="1">
        <v>2</v>
      </c>
    </row>
    <row r="44" spans="6:8" x14ac:dyDescent="0.2">
      <c r="F44" s="1">
        <v>1.2</v>
      </c>
      <c r="G44" s="1">
        <v>7.2030000000000003</v>
      </c>
      <c r="H44" s="1">
        <v>2</v>
      </c>
    </row>
    <row r="45" spans="6:8" x14ac:dyDescent="0.2">
      <c r="F45" s="1">
        <v>0.8</v>
      </c>
      <c r="G45" s="1">
        <v>6.6230000000000002</v>
      </c>
      <c r="H45" s="1">
        <v>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 A</vt:lpstr>
      <vt:lpstr>Rep B</vt:lpstr>
      <vt:lpstr>Rep C</vt:lpstr>
      <vt:lpstr>Rep D</vt:lpstr>
      <vt:lpstr>dryweights</vt:lpstr>
      <vt:lpstr>Rep E</vt:lpstr>
      <vt:lpstr>RepEgalls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2026-03-20T16:38:16Z</dcterms:created>
  <dcterms:modified xsi:type="dcterms:W3CDTF">2026-04-24T23:58:57Z</dcterms:modified>
</cp:coreProperties>
</file>